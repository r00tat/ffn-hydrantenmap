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rechnung" sheetId="1" r:id="rId4"/>
    <sheet state="visible" name="Fzg Bergung" sheetId="2" r:id="rId5"/>
    <sheet state="visible" name="Grabenhüpfer" sheetId="3" r:id="rId6"/>
    <sheet state="visible" name="Druck" sheetId="4" r:id="rId7"/>
    <sheet state="visible" name="Konfiguration" sheetId="5" r:id="rId8"/>
  </sheets>
  <definedNames>
    <definedName localSheetId="3" name="zero8">Druck!$I$81:$I$84</definedName>
    <definedName localSheetId="3" name="zero4">Druck!$I$50:$I$60</definedName>
    <definedName localSheetId="2" name="zero8">'Grabenhüpfer'!$I$81:$I$84</definedName>
    <definedName name="clear2">Berechnung!$F$15:$G$144</definedName>
    <definedName localSheetId="1" name="zero1">'Fzg Bergung'!$I$15:$I$18</definedName>
    <definedName localSheetId="2" name="zero1">'Grabenhüpfer'!$I$15:$I$18</definedName>
    <definedName name="zero5">Berechnung!$I$63:$I$64</definedName>
    <definedName localSheetId="1" name="clear2">'Fzg Bergung'!$F$15:$G$144</definedName>
    <definedName localSheetId="3" name="zero2">Druck!$I$21:$I$40</definedName>
    <definedName name="duration_manpower">Berechnung!$G$16:$G$18</definedName>
    <definedName localSheetId="2" name="duration_manpower">'Grabenhüpfer'!$G$16:$G$18</definedName>
    <definedName name="zero12">Berechnung!$I$120:$I$144</definedName>
    <definedName localSheetId="1" name="duration_manpower">'Fzg Bergung'!$G$16:$G$18</definedName>
    <definedName localSheetId="3" name="zero5">Druck!$I$63:$I$64</definedName>
    <definedName localSheetId="1" name="zero6">'Fzg Bergung'!$I$67:$I$73</definedName>
    <definedName localSheetId="2" name="clear1">'Grabenhüpfer'!$C$3:$I$10</definedName>
    <definedName localSheetId="3" name="clear2">Druck!$F$15:$G$144</definedName>
    <definedName localSheetId="2" name="zero11">'Grabenhüpfer'!$I$108:$I$114</definedName>
    <definedName localSheetId="2" name="zero3">'Grabenhüpfer'!$I$43:$I$47</definedName>
    <definedName name="zero4">Berechnung!$I$50:$I$60</definedName>
    <definedName name="zero7">Berechnung!$I$76:$I$78</definedName>
    <definedName name="clear1">Berechnung!$C$3:$I$10</definedName>
    <definedName localSheetId="1" name="zero4">'Fzg Bergung'!$I$50:$I$60</definedName>
    <definedName localSheetId="3" name="zero6">Druck!$I$67:$I$73</definedName>
    <definedName name="zero11">Berechnung!$I$108:$I$114</definedName>
    <definedName localSheetId="1" name="zero8">'Fzg Bergung'!$I$81:$I$84</definedName>
    <definedName localSheetId="2" name="zero2">'Grabenhüpfer'!$I$21:$I$40</definedName>
    <definedName name="zero8">Berechnung!$I$81:$I$84</definedName>
    <definedName name="zero10">Berechnung!$I$96:$I$102</definedName>
    <definedName localSheetId="3" name="clear1">Druck!$C$3:$I$10</definedName>
    <definedName localSheetId="3" name="zero1">Druck!$I$15:$I$18</definedName>
    <definedName localSheetId="2" name="zero6">'Grabenhüpfer'!$I$67:$I$73</definedName>
    <definedName localSheetId="1" name="clear1">'Fzg Bergung'!$C$3:$I$10</definedName>
    <definedName localSheetId="2" name="PrintWebLink">'Grabenhüpfer'!$B$156:$J$156</definedName>
    <definedName localSheetId="2" name="clear2">'Grabenhüpfer'!$F$15:$G$144</definedName>
    <definedName localSheetId="3" name="zero7">Druck!$I$76:$I$78</definedName>
    <definedName localSheetId="3" name="zero12">Druck!$I$120:$I$144</definedName>
    <definedName localSheetId="1" name="main_duration">'Fzg Bergung'!$G$15</definedName>
    <definedName localSheetId="2" name="zero9">'Grabenhüpfer'!$I$87:$I$90</definedName>
    <definedName localSheetId="1" name="zero3">'Fzg Bergung'!$I$43:$I$47</definedName>
    <definedName localSheetId="1" name="zero12">'Fzg Bergung'!$I$120:$I$144</definedName>
    <definedName name="zero9">Berechnung!$I$87:$I$90</definedName>
    <definedName name="zero1">Berechnung!$I$15:$I$18</definedName>
    <definedName localSheetId="1" name="zero5">'Fzg Bergung'!$I$63:$I$64</definedName>
    <definedName localSheetId="2" name="main_duration">'Grabenhüpfer'!$G$15</definedName>
    <definedName localSheetId="1" name="zero11">'Fzg Bergung'!$I$108:$I$114</definedName>
    <definedName localSheetId="2" name="zero5">'Grabenhüpfer'!$I$63:$I$64</definedName>
    <definedName localSheetId="2" name="zero10">'Grabenhüpfer'!$I$96:$I$102</definedName>
    <definedName localSheetId="3" name="zero11">Druck!$I$108:$I$114</definedName>
    <definedName localSheetId="1" name="zero9">'Fzg Bergung'!$I$87:$I$90</definedName>
    <definedName localSheetId="2" name="zero4">'Grabenhüpfer'!$I$50:$I$60</definedName>
    <definedName name="duration_vehicles">Berechnung!$G$21:$G$40</definedName>
    <definedName localSheetId="3" name="zero9">Druck!$I$87:$I$90</definedName>
    <definedName name="zero3">Berechnung!$I$43:$I$47</definedName>
    <definedName name="main_duration">Berechnung!$G$15</definedName>
    <definedName localSheetId="2" name="zero12">'Grabenhüpfer'!$I$120:$I$144</definedName>
    <definedName localSheetId="2" name="zero7">'Grabenhüpfer'!$I$76:$I$78</definedName>
    <definedName localSheetId="1" name="PrintWebLink">'Fzg Bergung'!$B$156:$J$156</definedName>
    <definedName localSheetId="1" name="duration_vehicles">'Fzg Bergung'!$G$21:$G$40</definedName>
    <definedName localSheetId="1" name="zero10">'Fzg Bergung'!$I$96:$I$102</definedName>
    <definedName localSheetId="1" name="zero7">'Fzg Bergung'!$I$76:$I$78</definedName>
    <definedName name="PrintWebLink">Berechnung!$B$156:$J$156</definedName>
    <definedName localSheetId="3" name="zero3">Druck!$I$43:$I$47</definedName>
    <definedName localSheetId="2" name="duration_vehicles">'Grabenhüpfer'!$G$21:$G$40</definedName>
    <definedName name="zero2">Berechnung!$I$21:$I$40</definedName>
    <definedName name="zero6">Berechnung!$I$67:$I$73</definedName>
    <definedName localSheetId="1" name="zero2">'Fzg Bergung'!$I$21:$I$40</definedName>
    <definedName localSheetId="3" name="zero10">Druck!$I$96:$I$102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tc={b13aeb24-6522-4093-a782-e812c58d56b0}</author>
  </authors>
  <commentList>
    <comment authorId="0" xr:uid="{b13aeb24-6522-4093-a782-e812c58d56b0}" ref="F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KRFS, VF
</t>
      </text>
    </comment>
  </commentList>
</comments>
</file>

<file path=xl/sharedStrings.xml><?xml version="1.0" encoding="utf-8"?>
<sst xmlns="http://schemas.openxmlformats.org/spreadsheetml/2006/main" count="1352" uniqueCount="266">
  <si>
    <t>Gegenstand</t>
  </si>
  <si>
    <t>Einheit</t>
  </si>
  <si>
    <t>Preis</t>
  </si>
  <si>
    <t>Preis Pauschal</t>
  </si>
  <si>
    <t>Einheiten</t>
  </si>
  <si>
    <t>Anzahl (h)</t>
  </si>
  <si>
    <t>Menge</t>
  </si>
  <si>
    <t>Menge Pauschal</t>
  </si>
  <si>
    <t>Summe</t>
  </si>
  <si>
    <t>Einsatz</t>
  </si>
  <si>
    <t>Datum</t>
  </si>
  <si>
    <t>Rechnungsempfänger</t>
  </si>
  <si>
    <t>Adresse</t>
  </si>
  <si>
    <t>Telefonnummer</t>
  </si>
  <si>
    <t>Email</t>
  </si>
  <si>
    <t>Bezahlung via</t>
  </si>
  <si>
    <t>Kommentar</t>
  </si>
  <si>
    <t>Tarif A</t>
  </si>
  <si>
    <t>1.</t>
  </si>
  <si>
    <t>Mannschaft und Fahrtkostenersatz</t>
  </si>
  <si>
    <t>1.01</t>
  </si>
  <si>
    <t>Personalaufwand (Einsatz, Bereitschaftsdienste,
usw.)</t>
  </si>
  <si>
    <t>pro Person &amp; h</t>
  </si>
  <si>
    <t>1.02</t>
  </si>
  <si>
    <t>Kommissionsdienst durch Feuerwehrorgane</t>
  </si>
  <si>
    <t>1.03</t>
  </si>
  <si>
    <t>Sachverständigentätigkeit durch
Feuerwehrorgane (für Bauverhandlungen,
Bauplatzerklärungen und dgl.)</t>
  </si>
  <si>
    <t>1.04</t>
  </si>
  <si>
    <t>Fahrtkostenersatz für Kommissionsdienst</t>
  </si>
  <si>
    <t>pro km</t>
  </si>
  <si>
    <t>2</t>
  </si>
  <si>
    <t>Fahrzeuge und Anhänger</t>
  </si>
  <si>
    <t>2.01</t>
  </si>
  <si>
    <t>Fahrzeuge bis 3,5 t Gesamtgewicht</t>
  </si>
  <si>
    <t>je Std / 5-12h pauschal</t>
  </si>
  <si>
    <t>2.02</t>
  </si>
  <si>
    <t>Fahrzeuge über 3,5 t bis 5,5 t Gesamtgewicht</t>
  </si>
  <si>
    <t>2.03</t>
  </si>
  <si>
    <t>Fahrzeuge über 5,5 t bis 7,5 t Gesamtgewicht</t>
  </si>
  <si>
    <t>2.04</t>
  </si>
  <si>
    <t>Fahrzeuge über 7,5 t bis 16 t Gesamtgewicht</t>
  </si>
  <si>
    <t>2.05</t>
  </si>
  <si>
    <t>Fahrzeuge über 16 t bis 18 t Gesamtgewicht</t>
  </si>
  <si>
    <t>2.06</t>
  </si>
  <si>
    <t>Drehleiter, Teleskopmast- bzw. Gelenkbühnen</t>
  </si>
  <si>
    <t>2.07</t>
  </si>
  <si>
    <t>VF mit Gefahrgutausrüstung</t>
  </si>
  <si>
    <t>2.08</t>
  </si>
  <si>
    <t>ULF, GTLF</t>
  </si>
  <si>
    <t>2.09</t>
  </si>
  <si>
    <t xml:space="preserve">Rüstfahrzeug ohne Kran, LKW/WLF mit Kran bis 100 kNm Hubmoment </t>
  </si>
  <si>
    <t>2.10</t>
  </si>
  <si>
    <t>Rüstfahrzeug mit Kran (SRF), LKW/WLF mit Kran über 100 kNm bis 300 kNm Hubmoment</t>
  </si>
  <si>
    <t>2.11</t>
  </si>
  <si>
    <t>Kranfahrzeug mit mehr als 300 kN Hubkraft</t>
  </si>
  <si>
    <t>2.12</t>
  </si>
  <si>
    <t>Telelader, Teleskoplader inkl. Anbaugeräte</t>
  </si>
  <si>
    <t>2.13</t>
  </si>
  <si>
    <t>Anhänger bis 750 kg Nutzlast</t>
  </si>
  <si>
    <t>2.14</t>
  </si>
  <si>
    <t>Anhänger 750 – 3 500 kg Nutzlast</t>
  </si>
  <si>
    <t>2.15</t>
  </si>
  <si>
    <t>LKW Anhänger über 3 500 kg Nutzlast</t>
  </si>
  <si>
    <t>2.16</t>
  </si>
  <si>
    <t>Wechselladeaufbau Atemluft, GSF, KSF, TDF</t>
  </si>
  <si>
    <t>2.17</t>
  </si>
  <si>
    <t>Wechselladeaufbau Einsatzleitung, Versorgung, Feuerwehrmedizinischer Dienst, Sanitär</t>
  </si>
  <si>
    <t>2.18</t>
  </si>
  <si>
    <t>Wechselladeaufbau Schlauch, Tank, Bergung</t>
  </si>
  <si>
    <t>2.19</t>
  </si>
  <si>
    <t>Sonstiger Wechselladeaufbau (Pritsche, Mulde)</t>
  </si>
  <si>
    <t>2.20</t>
  </si>
  <si>
    <t>Drohne inkl. Führungs- und Transportfahrzeug</t>
  </si>
  <si>
    <t>3</t>
  </si>
  <si>
    <t>Löschgeräte, Schläuche und Zubehör sowie Leitern</t>
  </si>
  <si>
    <t>3.01</t>
  </si>
  <si>
    <t>Trockenlöschgerät P50 (Lösch- und Treibmittel nach Tarif D),
Wasserstrahlpumpe</t>
  </si>
  <si>
    <t>3.02</t>
  </si>
  <si>
    <t>Trockenlöschgerät TroLA 250 (Lösch- und Treibmittel nach
Tarif D)</t>
  </si>
  <si>
    <t>3.03</t>
  </si>
  <si>
    <t>Wasserführende Armaturen, Schläuche und Zubehör, je Stk</t>
  </si>
  <si>
    <t>3.04</t>
  </si>
  <si>
    <t>Fahrbare Schiebleiter (nicht hydraulisch)</t>
  </si>
  <si>
    <t>3.05</t>
  </si>
  <si>
    <t xml:space="preserve">Tragbare Leiter, Strickleiter, Rettungsplattform </t>
  </si>
  <si>
    <t>4</t>
  </si>
  <si>
    <t>Geräte mit motorischem Antrieb</t>
  </si>
  <si>
    <t>4.01</t>
  </si>
  <si>
    <t>Handgeführte Elektro- oder Akku-Werkzeuge</t>
  </si>
  <si>
    <t>4.02</t>
  </si>
  <si>
    <t>Hochleistungslüfter - Turboventilator; Tauchpumpe unter
1.000 l/min, Wassersauger, Motorkettensäge,
Ölumfüllpumpe, Benzinmotor-Trennschleifer,
Leichtschaumgerät, Hochdruckreiniger</t>
  </si>
  <si>
    <t>4.03</t>
  </si>
  <si>
    <t>Tauchpumpe von 1000 l/min bis 2000 l/min, Auspumpaggregat und Tragkraftspritze bis
1 000l/min, Stromerzeuger bis 5 kVA</t>
  </si>
  <si>
    <t>4.04</t>
  </si>
  <si>
    <t>Tauchpumpe über 2 000 l/min, Auspumpaggregat und Tragkraftspritze über 1000l/min, Stromerzeuger 5 kVA bis 12 kVA</t>
  </si>
  <si>
    <t>4.05</t>
  </si>
  <si>
    <t>Stromerzeuger von 12 kVA - 20 kVA</t>
  </si>
  <si>
    <t>4.06</t>
  </si>
  <si>
    <t>Stromerzeuger von 21 kVA – 50 kVA</t>
  </si>
  <si>
    <t>4.07</t>
  </si>
  <si>
    <t>Stromerzeuger von 51 kVA – 150 kVA</t>
  </si>
  <si>
    <t>4.08</t>
  </si>
  <si>
    <t>Stromerzeuger über 150 kVA</t>
  </si>
  <si>
    <t>4.09</t>
  </si>
  <si>
    <t>Akku-/Hydr. Rettungssatz (einschließlich Hydraulikschere
und -spreizer) ohne Stromversorgung</t>
  </si>
  <si>
    <t>4.10</t>
  </si>
  <si>
    <t>Auspumpaggregat über 5.000 l/min,</t>
  </si>
  <si>
    <t>4.11</t>
  </si>
  <si>
    <t>Löschunterstützungsfahrzeug (LUF) inkl. Transportanhängeroder Fahrzeug</t>
  </si>
  <si>
    <t>5</t>
  </si>
  <si>
    <t>Füllen von Pressluftflaschen</t>
  </si>
  <si>
    <t>5.01</t>
  </si>
  <si>
    <t>Füllen einer Pressluftflasche bis 6 Liter</t>
  </si>
  <si>
    <t>je Füllung</t>
  </si>
  <si>
    <t>5.02</t>
  </si>
  <si>
    <t>Füllen einer Pressluftflasche über 6 Liter</t>
  </si>
  <si>
    <t>6</t>
  </si>
  <si>
    <t>Werkzeuge, Beleuchtungsgeräte und sonstige Einsatzgeräte</t>
  </si>
  <si>
    <t>6.01</t>
  </si>
  <si>
    <t>Feldküche</t>
  </si>
  <si>
    <t>nach Aufwand</t>
  </si>
  <si>
    <t>6.02</t>
  </si>
  <si>
    <t>Hebekissen, Hebeballon,
Arbeitsdruck über 1 bar (Luft nach Kap. 5)</t>
  </si>
  <si>
    <t>6.03</t>
  </si>
  <si>
    <t>Hebekissen, Hebeballon,
Arbeitsdruck bis 1 bar (Luft nach Kap. 5)</t>
  </si>
  <si>
    <t>6.04</t>
  </si>
  <si>
    <t>Zelt, bis 10 Personen</t>
  </si>
  <si>
    <t>6.05</t>
  </si>
  <si>
    <t>Zelt, über 10 Personen</t>
  </si>
  <si>
    <t>6.06</t>
  </si>
  <si>
    <t>Wärmebildkamera</t>
  </si>
  <si>
    <t>6.07</t>
  </si>
  <si>
    <t xml:space="preserve">Schnelleinsatzzelt (gegebenenfalls mit Beheizung) </t>
  </si>
  <si>
    <t>7</t>
  </si>
  <si>
    <t>Persönliche Ausrüstung - Schutzbekleidung</t>
  </si>
  <si>
    <t>7.01</t>
  </si>
  <si>
    <t>Hitzeschutzanzug</t>
  </si>
  <si>
    <t>7.02</t>
  </si>
  <si>
    <t>Hitzeschutzhandschuhe oder Hitzeschutzhaube</t>
  </si>
  <si>
    <t>7.03</t>
  </si>
  <si>
    <t>Wathose</t>
  </si>
  <si>
    <t>8.</t>
  </si>
  <si>
    <t>Wasserdienst</t>
  </si>
  <si>
    <t>8.01</t>
  </si>
  <si>
    <t>Arbeits- bzw. Mehrzweckboot</t>
  </si>
  <si>
    <t>8.02</t>
  </si>
  <si>
    <t>Zille (ohne Motor)</t>
  </si>
  <si>
    <t>8.03</t>
  </si>
  <si>
    <t>Schlauchboot, Kunststoffboot (mit Motor)</t>
  </si>
  <si>
    <t>8.04</t>
  </si>
  <si>
    <t>Schlauchboot, Kunststoffboot (ohne Motor)</t>
  </si>
  <si>
    <t>9.</t>
  </si>
  <si>
    <t>Einsatzgeräte für den Gefährliche-Stoffe-Einsatz</t>
  </si>
  <si>
    <t>9.01</t>
  </si>
  <si>
    <t>Explosimeter, Gasspürgerät (Prüfröhrchen als Verbrauchsmaterial)</t>
  </si>
  <si>
    <t>9.02</t>
  </si>
  <si>
    <t>Pauschale für alle übrigen Messgeräte (je Gerät)</t>
  </si>
  <si>
    <t>9.03</t>
  </si>
  <si>
    <t>Strahlenmessgerät</t>
  </si>
  <si>
    <t>9.04</t>
  </si>
  <si>
    <t xml:space="preserve">Ölsperren (je 10 lfm) </t>
  </si>
  <si>
    <t>Tarif B</t>
  </si>
  <si>
    <t>10.</t>
  </si>
  <si>
    <t>Tarif für pauschalierte Beistellungen und Einsatzleistungen</t>
  </si>
  <si>
    <t>10.01</t>
  </si>
  <si>
    <t>Aufsperren einer Wohnung (gleichgültig ob durch Nachschlüssel, Fenstereinstieg o.ä.)</t>
  </si>
  <si>
    <t>10.02</t>
  </si>
  <si>
    <t>Freimachen eines Verkehrsweges (§ 89a StVO 1960)</t>
  </si>
  <si>
    <t>10.03</t>
  </si>
  <si>
    <t>Anschleppen eines Kraftfahrzeuges</t>
  </si>
  <si>
    <t>10.04</t>
  </si>
  <si>
    <t>Personenbefreiung aus Aufzügen (max. 30 Min., darüber hinaus nach Aufwand)</t>
  </si>
  <si>
    <t>10.05</t>
  </si>
  <si>
    <t>Wassertransport nur Tanklöschfahrzeug bis 2 000 l mit Fahrer (Pauschale)</t>
  </si>
  <si>
    <t>10.06</t>
  </si>
  <si>
    <t>Wassertransport nur Tanklöschfahrzeug &gt; 2 000 – 4 000 l mit Fahrer (Pauschale)</t>
  </si>
  <si>
    <t>10.07</t>
  </si>
  <si>
    <t>Wassertransport nur Tanklöschfahrzeug &gt; 4 000 – 10 000 l mit Fahrer (Pauschale)</t>
  </si>
  <si>
    <t>Tarif C</t>
  </si>
  <si>
    <t>11</t>
  </si>
  <si>
    <t>Tarif für Brandschutzanlagen</t>
  </si>
  <si>
    <t>11.01</t>
  </si>
  <si>
    <t>Anschaltung mittels Übertragungssystem gemäß ÖNORM EN 54-21, Typ 1</t>
  </si>
  <si>
    <t>pro Monat</t>
  </si>
  <si>
    <t>11.02</t>
  </si>
  <si>
    <t>Anschaltung mittels Übertragungssystem gemäß ÖNORM EN 54-21, Typ 2</t>
  </si>
  <si>
    <t>11.03</t>
  </si>
  <si>
    <t>Dauerhafte Aktivierung oder Deaktivierung eines Anschlusses einer Brandschutzanlage an die öffentliche Alarmeinrichtung der Feuerwehr</t>
  </si>
  <si>
    <t>je Fall 45,00</t>
  </si>
  <si>
    <t>11.04</t>
  </si>
  <si>
    <t>Brandmelder Fehl- oder Täuschungsalarm</t>
  </si>
  <si>
    <t>nach Aufwand entsprechend der alarmplanmäßigen Ausrückung, mind. 421,20</t>
  </si>
  <si>
    <t>11.05</t>
  </si>
  <si>
    <t>Durch Personen weitergeleitete Fehl- oder Täuschungsalarme, Alarme von Rauchwarnmeldern („Home-Rauchmelder“)</t>
  </si>
  <si>
    <t>11.06</t>
  </si>
  <si>
    <t>Durch ohne gesetzliches Erfordernis automatisch weitergeleitete Fehl- oder Täuschungsalarme, von Rauchwarnmeldern (auch als Teil von Gefahrenmeldeanlagen) automatisch weitergeleitete Fehl oder Täuschungsalarme</t>
  </si>
  <si>
    <t>11.07</t>
  </si>
  <si>
    <t xml:space="preserve">Vidierung von Brandschutzplänen </t>
  </si>
  <si>
    <t xml:space="preserve">Grundbetrag 21,60
Je Bogen zusätzlich 5,40 </t>
  </si>
  <si>
    <t>Tarif D</t>
  </si>
  <si>
    <t>12</t>
  </si>
  <si>
    <t>Tarif für Verbrauchsmaterialien</t>
  </si>
  <si>
    <t>12.01</t>
  </si>
  <si>
    <t>Kraftstoffe, Öle, Reinigungsmittel (zB Benzin, Gemisch, Dieselkraftstoff, Motoröl, Petroleum)</t>
  </si>
  <si>
    <t>Die Berechnung erfolgt zu den Tagespreisen.</t>
  </si>
  <si>
    <t>12.02</t>
  </si>
  <si>
    <t>Pölzmaterial (zB Gerüstklammer, Holz jeder Art)</t>
  </si>
  <si>
    <t>12.03</t>
  </si>
  <si>
    <t>Atemschutzmaterial (zB Alkalipatrone für Sauerstoffschutzgerät, Alkalipatrone für Tauchgerät, Atemfilter, Fluchthauben)</t>
  </si>
  <si>
    <t>12.04</t>
  </si>
  <si>
    <t>Sonstiges Verbrauchsmaterial (zB Schweißgas, Löschpulver, Netzmittel, Bindemittel jeder Art, Ölsaugmaterial [Sorbtücher, -watte, -netzsperre], Sägespäne, Torfmull, Pressluft, Sauerstoff - med. rein, Prüfröhrchen, Schaummittel, Stickstoff, Trennscheiben, Treibladung für Leinenschießgerät usw.)</t>
  </si>
  <si>
    <t>12.05</t>
  </si>
  <si>
    <t>Sack Ölbindemittel</t>
  </si>
  <si>
    <t>pro Sack</t>
  </si>
  <si>
    <t>12.06</t>
  </si>
  <si>
    <t>Einweg Overall Flüssigkeitsbeständig</t>
  </si>
  <si>
    <t>pro Stück</t>
  </si>
  <si>
    <t>12.07</t>
  </si>
  <si>
    <t>Einweg Overall Schutzstuffe 2 (Apollo)</t>
  </si>
  <si>
    <t>12.08</t>
  </si>
  <si>
    <t>Schutzanzug Splash 600 Mehrweg (Stufe 2)</t>
  </si>
  <si>
    <t>12.09</t>
  </si>
  <si>
    <t>Apollo 4000 Schutzanzug LFK</t>
  </si>
  <si>
    <t>12.10</t>
  </si>
  <si>
    <t>Kombifilter A2B2E2K2HgP3 R SL</t>
  </si>
  <si>
    <t>12.11</t>
  </si>
  <si>
    <t>Chemalikenbinder</t>
  </si>
  <si>
    <t>12.12</t>
  </si>
  <si>
    <t>Dekon Tauchpumpe</t>
  </si>
  <si>
    <t>12.13</t>
  </si>
  <si>
    <t>Adapter PA auf RA für Filtermaske</t>
  </si>
  <si>
    <t>12.14</t>
  </si>
  <si>
    <t>Handschuhe AlphaTec (Chemikalienbeständig)</t>
  </si>
  <si>
    <t>12.15</t>
  </si>
  <si>
    <t>Reinigungspauschale</t>
  </si>
  <si>
    <t>12.16</t>
  </si>
  <si>
    <t>Entsorgungspauschale</t>
  </si>
  <si>
    <t>12.17</t>
  </si>
  <si>
    <t>Europalette</t>
  </si>
  <si>
    <t>12.18</t>
  </si>
  <si>
    <t>300 Liter IBC Container (UN)</t>
  </si>
  <si>
    <t>12.19</t>
  </si>
  <si>
    <t>600 Liter IBC Container (UN)</t>
  </si>
  <si>
    <t>12.20</t>
  </si>
  <si>
    <t>1000 Liter IBC Container (UN)</t>
  </si>
  <si>
    <t>12.21</t>
  </si>
  <si>
    <t>Prüfung Schutzstufe 3</t>
  </si>
  <si>
    <t>12.22</t>
  </si>
  <si>
    <t>Kettengehänge 2-Strang (4m)</t>
  </si>
  <si>
    <t>12.23</t>
  </si>
  <si>
    <t>Unterlegplane</t>
  </si>
  <si>
    <t>12.24</t>
  </si>
  <si>
    <t>Fass 60l</t>
  </si>
  <si>
    <t xml:space="preserve">pro Stück </t>
  </si>
  <si>
    <t>12.25</t>
  </si>
  <si>
    <t>SPC 4800 - Schutzanzug</t>
  </si>
  <si>
    <t>Summe lt Tarifordnung</t>
  </si>
  <si>
    <t xml:space="preserve">Die Berechnung erfolgt laut Landesgesetzblatt Nr. 77/2023
</t>
  </si>
  <si>
    <t>https://www.ris.bka.gv.at/eli/lgbl/BU/2023/77/20231107</t>
  </si>
  <si>
    <t>Freiwillige Feuerwehr Neusiedl/See
A-7100 Neusiedl/See Satzgasse 9
Tel.: +43 2167 2250
http://www.ff-neusiedlamsee.at
email: kommando@ff-neusiedlamsee.at</t>
  </si>
  <si>
    <t>Bankverbindung
AT40 3300 0000 0202 0402
RLBBAT2E</t>
  </si>
  <si>
    <t>Druck Link (im Browser öffnen für Druck und Mail)</t>
  </si>
  <si>
    <t>Weboberfläche für Druck öffnen</t>
  </si>
  <si>
    <t>https://script.google.com/a/macros/ff-neusiedlamsee.at/s/AKfycbwnlt8oln23QGQMn3D_d0sC3XmJpT02eXFBei16IXSboo7brVHBzVdsM4-D8Ag2Ushm/exec</t>
  </si>
  <si>
    <t>Email Text</t>
  </si>
  <si>
    <t>Sehr geehrte(r) ${empfaengerName},
Anbei finden Sie die Abrechnung für den Kostenersatz zum Einsatz ${einsatzName} am ${einsatzDate}.
Laut Landesgesetztblatt Nr. 77/2023 des Burgenlandes hat die Feuerwehr das Recht Kostenersatz zu fordern.
Sollte der Kostenersatz nicht vor Ort beglichen sein, bitte den Betrag auf folgendes Konto überweisen:
Freiwillige Feuerwehr Neusiedl am See
AT40 3300 0000 0202 0402
RLBBAT2E
Dear ${empfaengerName},
Attached you will find the reimbursement for the emergency call ${einsatzName} on ${einsatzDate}.
As by Austrian law (LgBl Nr. 77/2023 Burgenland) die fire departement has the right to request reimbursement.
If the payment didn't take place on the scene, please transfer the pending amount to the following bank account:
Freiwillige Feuerwehr Neusiedl am See
AT40 3300 0000 0202 0402
RLBBAT2E
---
Mit freundlichen Grüßen,
Freiwillige Feuerwehr Neusiedl am See
Email: verwaltung@ff-neusiedlamsee.at
Tel: +43 2167 2250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</si>
</sst>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9">
    <font>
      <sz val="10.0"/>
      <color rgb="FF000000"/>
      <name val="Arial"/>
    </font>
    <font>
      <b/>
    </font>
    <font/>
    <font>
      <name val="Arial"/>
    </font>
    <font>
      <color rgb="FF000000"/>
      <name val="Arial"/>
    </font>
    <font>
      <u/>
      <color rgb="FF1155CC"/>
    </font>
    <font>
      <u/>
      <color rgb="FF000000"/>
      <name val="Arial"/>
    </font>
    <font>
      <u/>
      <color rgb="FF0000FF"/>
    </font>
    <font>
      <u/>
      <color rgb="FF1155CC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164" xfId="0" applyAlignment="1" applyFont="1" applyNumberFormat="1">
      <alignment horizontal="right" readingOrder="0"/>
    </xf>
    <xf borderId="0" fillId="0" fontId="2" numFmtId="49" xfId="0" applyFont="1" applyNumberFormat="1"/>
    <xf borderId="0" fillId="0" fontId="2" numFmtId="164" xfId="0" applyFont="1" applyNumberFormat="1"/>
    <xf borderId="0" fillId="0" fontId="2" numFmtId="164" xfId="0" applyAlignment="1" applyFont="1" applyNumberFormat="1">
      <alignment shrinkToFit="0" wrapText="1"/>
    </xf>
    <xf borderId="0" fillId="0" fontId="3" numFmtId="0" xfId="0" applyAlignment="1" applyFont="1">
      <alignment readingOrder="0" vertical="bottom"/>
    </xf>
    <xf borderId="0" fillId="0" fontId="3" numFmtId="14" xfId="0" applyAlignment="1" applyFont="1" applyNumberFormat="1">
      <alignment horizontal="left" readingOrder="0"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1" numFmtId="164" xfId="0" applyFont="1" applyNumberFormat="1"/>
    <xf borderId="0" fillId="0" fontId="1" numFmtId="164" xfId="0" applyAlignment="1" applyFont="1" applyNumberFormat="1">
      <alignment shrinkToFit="0" wrapText="1"/>
    </xf>
    <xf borderId="0" fillId="0" fontId="1" numFmtId="0" xfId="0" applyFont="1"/>
    <xf borderId="0" fillId="0" fontId="2" numFmtId="49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 shrinkToFit="0" wrapText="1"/>
    </xf>
    <xf borderId="0" fillId="0" fontId="2" numFmtId="0" xfId="0" applyAlignment="1" applyFont="1">
      <alignment readingOrder="0"/>
    </xf>
    <xf borderId="0" fillId="2" fontId="4" numFmtId="0" xfId="0" applyAlignment="1" applyFill="1" applyFont="1">
      <alignment horizontal="left" readingOrder="0" shrinkToFit="0" wrapText="1"/>
    </xf>
    <xf borderId="0" fillId="0" fontId="1" numFmtId="164" xfId="0" applyAlignment="1" applyFont="1" applyNumberFormat="1">
      <alignment readingOrder="0" shrinkToFit="0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readingOrder="0" shrinkToFit="0" vertical="bottom" wrapText="1"/>
    </xf>
    <xf borderId="0" fillId="0" fontId="3" numFmtId="164" xfId="0" applyAlignment="1" applyFont="1" applyNumberFormat="1">
      <alignment horizontal="right" readingOrder="0" vertical="bottom"/>
    </xf>
    <xf borderId="1" fillId="0" fontId="1" numFmtId="49" xfId="0" applyAlignment="1" applyBorder="1" applyFont="1" applyNumberForma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1" numFmtId="0" xfId="0" applyBorder="1" applyFont="1"/>
    <xf borderId="1" fillId="0" fontId="1" numFmtId="164" xfId="0" applyBorder="1" applyFont="1" applyNumberFormat="1"/>
    <xf borderId="1" fillId="0" fontId="1" numFmtId="164" xfId="0" applyAlignment="1" applyBorder="1" applyFont="1" applyNumberFormat="1">
      <alignment shrinkToFit="0" wrapText="1"/>
    </xf>
    <xf borderId="0" fillId="2" fontId="6" numFmtId="0" xfId="0" applyAlignment="1" applyFont="1">
      <alignment horizontal="left" readingOrder="0" shrinkToFit="0" wrapText="1"/>
    </xf>
    <xf borderId="0" fillId="0" fontId="7" numFmtId="0" xfId="0" applyAlignment="1" applyFont="1">
      <alignment readingOrder="0" shrinkToFit="0" wrapText="1"/>
    </xf>
    <xf borderId="2" fillId="0" fontId="1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readingOrder="0"/>
    </xf>
    <xf borderId="4" fillId="0" fontId="2" numFmtId="0" xfId="0" applyBorder="1" applyFont="1"/>
    <xf borderId="5" fillId="0" fontId="2" numFmtId="0" xfId="0" applyBorder="1" applyFont="1"/>
    <xf borderId="3" fillId="0" fontId="2" numFmtId="14" xfId="0" applyAlignment="1" applyBorder="1" applyFont="1" applyNumberFormat="1">
      <alignment horizontal="left" readingOrder="0"/>
    </xf>
    <xf borderId="3" fillId="0" fontId="2" numFmtId="0" xfId="0" applyBorder="1" applyFont="1"/>
    <xf borderId="3" fillId="0" fontId="2" numFmtId="0" xfId="0" applyAlignment="1" applyBorder="1" applyFont="1">
      <alignment readingOrder="0" shrinkToFit="0" wrapText="1"/>
    </xf>
    <xf borderId="2" fillId="0" fontId="1" numFmtId="49" xfId="0" applyAlignment="1" applyBorder="1" applyFont="1" applyNumberFormat="1">
      <alignment readingOrder="0"/>
    </xf>
    <xf borderId="2" fillId="0" fontId="1" numFmtId="0" xfId="0" applyAlignment="1" applyBorder="1" applyFont="1">
      <alignment readingOrder="0"/>
    </xf>
    <xf borderId="2" fillId="0" fontId="1" numFmtId="164" xfId="0" applyBorder="1" applyFont="1" applyNumberFormat="1"/>
    <xf borderId="2" fillId="0" fontId="1" numFmtId="164" xfId="0" applyAlignment="1" applyBorder="1" applyFont="1" applyNumberFormat="1">
      <alignment shrinkToFit="0" wrapText="1"/>
    </xf>
    <xf borderId="2" fillId="0" fontId="1" numFmtId="0" xfId="0" applyBorder="1" applyFont="1"/>
    <xf borderId="2" fillId="0" fontId="2" numFmtId="49" xfId="0" applyAlignment="1" applyBorder="1" applyFont="1" applyNumberFormat="1">
      <alignment readingOrder="0"/>
    </xf>
    <xf borderId="2" fillId="0" fontId="2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readingOrder="0"/>
    </xf>
    <xf borderId="2" fillId="0" fontId="2" numFmtId="164" xfId="0" applyAlignment="1" applyBorder="1" applyFont="1" applyNumberFormat="1">
      <alignment readingOrder="0"/>
    </xf>
    <xf borderId="2" fillId="0" fontId="2" numFmtId="164" xfId="0" applyAlignment="1" applyBorder="1" applyFont="1" applyNumberFormat="1">
      <alignment readingOrder="0" shrinkToFit="0" wrapText="1"/>
    </xf>
    <xf borderId="2" fillId="0" fontId="2" numFmtId="0" xfId="0" applyBorder="1" applyFont="1"/>
    <xf borderId="2" fillId="0" fontId="2" numFmtId="164" xfId="0" applyBorder="1" applyFont="1" applyNumberFormat="1"/>
    <xf borderId="2" fillId="0" fontId="2" numFmtId="49" xfId="0" applyBorder="1" applyFont="1" applyNumberFormat="1"/>
    <xf borderId="2" fillId="0" fontId="2" numFmtId="0" xfId="0" applyAlignment="1" applyBorder="1" applyFont="1">
      <alignment shrinkToFit="0" wrapText="1"/>
    </xf>
    <xf borderId="2" fillId="0" fontId="2" numFmtId="164" xfId="0" applyAlignment="1" applyBorder="1" applyFont="1" applyNumberFormat="1">
      <alignment shrinkToFit="0" wrapText="1"/>
    </xf>
    <xf borderId="2" fillId="2" fontId="4" numFmtId="0" xfId="0" applyAlignment="1" applyBorder="1" applyFont="1">
      <alignment horizontal="left" readingOrder="0" shrinkToFit="0" wrapText="1"/>
    </xf>
    <xf borderId="2" fillId="0" fontId="2" numFmtId="0" xfId="0" applyAlignment="1" applyBorder="1" applyFont="1">
      <alignment readingOrder="0"/>
    </xf>
    <xf borderId="2" fillId="0" fontId="1" numFmtId="164" xfId="0" applyAlignment="1" applyBorder="1" applyFont="1" applyNumberFormat="1">
      <alignment readingOrder="0" shrinkToFit="0" wrapText="1"/>
    </xf>
    <xf borderId="2" fillId="0" fontId="3" numFmtId="0" xfId="0" applyAlignment="1" applyBorder="1" applyFont="1">
      <alignment shrinkToFit="0" vertical="bottom" wrapText="1"/>
    </xf>
    <xf borderId="2" fillId="0" fontId="3" numFmtId="0" xfId="0" applyAlignment="1" applyBorder="1" applyFont="1">
      <alignment shrinkToFit="0" vertical="bottom" wrapText="1"/>
    </xf>
    <xf borderId="2" fillId="0" fontId="3" numFmtId="164" xfId="0" applyAlignment="1" applyBorder="1" applyFont="1" applyNumberFormat="1">
      <alignment horizontal="right" vertical="bottom"/>
    </xf>
    <xf borderId="0" fillId="0" fontId="8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151</xdr:row>
      <xdr:rowOff>0</xdr:rowOff>
    </xdr:from>
    <xdr:ext cx="78105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151</xdr:row>
      <xdr:rowOff>0</xdr:rowOff>
    </xdr:from>
    <xdr:ext cx="78105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151</xdr:row>
      <xdr:rowOff>0</xdr:rowOff>
    </xdr:from>
    <xdr:ext cx="78105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151</xdr:row>
      <xdr:rowOff>0</xdr:rowOff>
    </xdr:from>
    <xdr:ext cx="78105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aul Wölfel" id="{27e50673-c62c-4ac2-9eb7-b6c4bc8663f7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22" dT="2023-05-03T13:57:36.00" personId="{27e50673-c62c-4ac2-9eb7-b6c4bc8663f7}" id="{b13aeb24-6522-4093-a782-e812c58d56b0}" done="1">
    <x18tc:text xml:space="preserve">KRFS, VF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ris.bka.gv.at/eli/lgbl/BU/2023/77/20231107" TargetMode="External"/><Relationship Id="rId5" Type="http://schemas.openxmlformats.org/officeDocument/2006/relationships/hyperlink" Target="https://script.google.com/a/macros/ff-neusiedlamsee.at/s/AKfycbzFekjaIVTUz5ZPz7AV5Z0vPsCRk2VQKLqXpMEPmkw/dev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is.bka.gv.at/eli/lgbl/BU/2023/77/20231107" TargetMode="External"/><Relationship Id="rId2" Type="http://schemas.openxmlformats.org/officeDocument/2006/relationships/hyperlink" Target="https://script.google.com/a/macros/ff-neusiedlamsee.at/s/AKfycbzFekjaIVTUz5ZPz7AV5Z0vPsCRk2VQKLqXpMEPmkw/dev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is.bka.gv.at/eli/lgbl/BU/2023/77/20231107" TargetMode="External"/><Relationship Id="rId2" Type="http://schemas.openxmlformats.org/officeDocument/2006/relationships/hyperlink" Target="https://script.google.com/a/macros/ff-neusiedlamsee.at/s/AKfycbzFekjaIVTUz5ZPz7AV5Z0vPsCRk2VQKLqXpMEPmkw/dev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is.bka.gv.at/eli/lgbl/BU/2023/77/20231107" TargetMode="External"/><Relationship Id="rId2" Type="http://schemas.openxmlformats.org/officeDocument/2006/relationships/hyperlink" Target="https://script.google.com/a/macros/ff-neusiedlamsee.at/s/AKfycbwnlt8oln23QGQMn3D_d0sC3XmJpT02eXFBei16IXSboo7brVHBzVdsM4-D8Ag2Ushm/exec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6.0"/>
    <col customWidth="1" min="2" max="2" width="34.63"/>
    <col customWidth="1" min="4" max="4" width="10.13"/>
    <col customWidth="1" min="5" max="5" width="10.25"/>
    <col customWidth="1" min="6" max="6" width="8.63"/>
    <col customWidth="1" min="7" max="7" width="6.88"/>
    <col customWidth="1" min="8" max="8" width="6.25"/>
    <col customWidth="1" min="9" max="9" width="8.63"/>
  </cols>
  <sheetData>
    <row r="1">
      <c r="A1" s="1"/>
      <c r="B1" s="2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7" t="s">
        <v>8</v>
      </c>
    </row>
    <row r="2">
      <c r="A2" s="8"/>
      <c r="B2" s="2"/>
      <c r="D2" s="9"/>
      <c r="E2" s="10"/>
      <c r="J2" s="9"/>
    </row>
    <row r="3">
      <c r="A3" s="8"/>
      <c r="B3" s="2" t="s">
        <v>9</v>
      </c>
      <c r="C3" s="11"/>
      <c r="J3" s="9"/>
    </row>
    <row r="4">
      <c r="A4" s="8"/>
      <c r="B4" s="2" t="s">
        <v>10</v>
      </c>
      <c r="C4" s="12"/>
      <c r="J4" s="9"/>
    </row>
    <row r="5">
      <c r="A5" s="8"/>
      <c r="B5" s="2" t="s">
        <v>11</v>
      </c>
      <c r="C5" s="11"/>
      <c r="D5" s="11"/>
      <c r="E5" s="11"/>
      <c r="F5" s="11"/>
      <c r="G5" s="11"/>
      <c r="H5" s="11"/>
      <c r="I5" s="11"/>
      <c r="J5" s="9"/>
    </row>
    <row r="6">
      <c r="A6" s="8"/>
      <c r="B6" s="2" t="s">
        <v>12</v>
      </c>
      <c r="C6" s="13"/>
      <c r="D6" s="14"/>
      <c r="E6" s="14"/>
      <c r="F6" s="14"/>
      <c r="G6" s="14"/>
      <c r="H6" s="14"/>
      <c r="I6" s="14"/>
      <c r="J6" s="9"/>
    </row>
    <row r="7">
      <c r="A7" s="8"/>
      <c r="B7" s="2" t="s">
        <v>13</v>
      </c>
      <c r="C7" s="11"/>
      <c r="J7" s="15"/>
    </row>
    <row r="8">
      <c r="A8" s="8"/>
      <c r="B8" s="2" t="s">
        <v>14</v>
      </c>
      <c r="C8" s="11"/>
      <c r="J8" s="9"/>
    </row>
    <row r="9">
      <c r="A9" s="8"/>
      <c r="B9" s="2" t="s">
        <v>15</v>
      </c>
      <c r="C9" s="16"/>
      <c r="J9" s="9"/>
    </row>
    <row r="10">
      <c r="A10" s="8"/>
      <c r="B10" s="2" t="s">
        <v>16</v>
      </c>
      <c r="C10" s="17"/>
      <c r="J10" s="9"/>
    </row>
    <row r="11">
      <c r="A11" s="8"/>
      <c r="B11" s="2"/>
      <c r="D11" s="9"/>
      <c r="E11" s="10"/>
      <c r="J11" s="9"/>
    </row>
    <row r="12">
      <c r="A12" s="8"/>
      <c r="B12" s="2" t="s">
        <v>17</v>
      </c>
      <c r="D12" s="9"/>
      <c r="E12" s="10"/>
      <c r="J12" s="9"/>
    </row>
    <row r="13">
      <c r="A13" s="8"/>
      <c r="B13" s="18"/>
      <c r="D13" s="9"/>
      <c r="E13" s="10"/>
      <c r="J13" s="9"/>
    </row>
    <row r="14">
      <c r="A14" s="1" t="s">
        <v>18</v>
      </c>
      <c r="B14" s="2" t="s">
        <v>19</v>
      </c>
      <c r="C14" s="3"/>
      <c r="D14" s="19"/>
      <c r="E14" s="20"/>
      <c r="F14" s="3"/>
      <c r="G14" s="3"/>
      <c r="H14" s="3"/>
      <c r="I14" s="21"/>
      <c r="J14" s="19">
        <f>SUM(J15:J18)</f>
        <v>0</v>
      </c>
    </row>
    <row r="15" outlineLevel="1">
      <c r="A15" s="22" t="s">
        <v>20</v>
      </c>
      <c r="B15" s="17" t="s">
        <v>21</v>
      </c>
      <c r="C15" s="16" t="s">
        <v>22</v>
      </c>
      <c r="D15" s="23">
        <v>32.4</v>
      </c>
      <c r="E15" s="24"/>
      <c r="F15" s="16"/>
      <c r="G15" s="16"/>
      <c r="H15" s="16">
        <f t="shared" ref="H15:H18" si="1">F15*IF(G15&lt;&gt;"",G15,1)</f>
        <v>0</v>
      </c>
      <c r="I15" s="25">
        <v>0.0</v>
      </c>
      <c r="J15" s="9">
        <f t="shared" ref="J15:J18" si="2">D15*H15+E15*I15</f>
        <v>0</v>
      </c>
    </row>
    <row r="16" outlineLevel="1">
      <c r="A16" s="22" t="s">
        <v>23</v>
      </c>
      <c r="B16" s="17" t="s">
        <v>24</v>
      </c>
      <c r="C16" s="16" t="s">
        <v>22</v>
      </c>
      <c r="D16" s="23">
        <v>32.4</v>
      </c>
      <c r="E16" s="24"/>
      <c r="G16" t="str">
        <f t="shared" ref="G16:G18" si="3">$G$15</f>
        <v/>
      </c>
      <c r="H16" s="16">
        <f t="shared" si="1"/>
        <v>0</v>
      </c>
      <c r="I16" s="25">
        <v>0.0</v>
      </c>
      <c r="J16" s="9">
        <f t="shared" si="2"/>
        <v>0</v>
      </c>
    </row>
    <row r="17" outlineLevel="1">
      <c r="A17" s="22" t="s">
        <v>25</v>
      </c>
      <c r="B17" s="17" t="s">
        <v>26</v>
      </c>
      <c r="C17" s="16" t="s">
        <v>22</v>
      </c>
      <c r="D17" s="23">
        <v>105.8</v>
      </c>
      <c r="E17" s="24"/>
      <c r="F17" s="16"/>
      <c r="G17" t="str">
        <f t="shared" si="3"/>
        <v/>
      </c>
      <c r="H17" s="16">
        <f t="shared" si="1"/>
        <v>0</v>
      </c>
      <c r="I17" s="25">
        <v>0.0</v>
      </c>
      <c r="J17" s="9">
        <f t="shared" si="2"/>
        <v>0</v>
      </c>
    </row>
    <row r="18" outlineLevel="1">
      <c r="A18" s="22" t="s">
        <v>27</v>
      </c>
      <c r="B18" s="17" t="s">
        <v>28</v>
      </c>
      <c r="C18" s="16" t="s">
        <v>29</v>
      </c>
      <c r="D18" s="23">
        <v>0.42</v>
      </c>
      <c r="E18" s="24"/>
      <c r="G18" t="str">
        <f t="shared" si="3"/>
        <v/>
      </c>
      <c r="H18" s="16">
        <f t="shared" si="1"/>
        <v>0</v>
      </c>
      <c r="I18" s="25">
        <v>0.0</v>
      </c>
      <c r="J18" s="9">
        <f t="shared" si="2"/>
        <v>0</v>
      </c>
    </row>
    <row r="19">
      <c r="A19" s="8"/>
      <c r="B19" s="18"/>
      <c r="D19" s="9"/>
      <c r="E19" s="10"/>
      <c r="J19" s="9"/>
    </row>
    <row r="20">
      <c r="A20" s="1" t="s">
        <v>30</v>
      </c>
      <c r="B20" s="2" t="s">
        <v>31</v>
      </c>
      <c r="C20" s="21"/>
      <c r="D20" s="19"/>
      <c r="E20" s="20"/>
      <c r="F20" s="21"/>
      <c r="H20" s="21"/>
      <c r="I20" s="21"/>
      <c r="J20" s="19">
        <f>SUM(J21:J40)</f>
        <v>0</v>
      </c>
    </row>
    <row r="21" outlineLevel="1">
      <c r="A21" s="22" t="s">
        <v>32</v>
      </c>
      <c r="B21" s="26" t="s">
        <v>33</v>
      </c>
      <c r="C21" s="16" t="s">
        <v>34</v>
      </c>
      <c r="D21" s="23">
        <v>63.7</v>
      </c>
      <c r="E21" s="24">
        <v>318.5</v>
      </c>
      <c r="F21" s="16"/>
      <c r="G21" t="str">
        <f t="shared" ref="G21:G40" si="4">$G$15</f>
        <v/>
      </c>
      <c r="H21" s="25">
        <f t="shared" ref="H21:H40" si="5">F21*if(G21&lt;&gt;"",G21,1)</f>
        <v>0</v>
      </c>
      <c r="I21" s="25">
        <v>0.0</v>
      </c>
      <c r="J21" s="9">
        <f t="shared" ref="J21:J40" si="6">D21*H21+E21*I21</f>
        <v>0</v>
      </c>
    </row>
    <row r="22" outlineLevel="1">
      <c r="A22" s="22" t="s">
        <v>35</v>
      </c>
      <c r="B22" s="17" t="s">
        <v>36</v>
      </c>
      <c r="C22" s="16" t="s">
        <v>34</v>
      </c>
      <c r="D22" s="23">
        <v>90.7</v>
      </c>
      <c r="E22" s="24">
        <v>453.5</v>
      </c>
      <c r="F22" s="16"/>
      <c r="G22" t="str">
        <f t="shared" si="4"/>
        <v/>
      </c>
      <c r="H22" s="25">
        <f t="shared" si="5"/>
        <v>0</v>
      </c>
      <c r="I22" s="25">
        <v>0.0</v>
      </c>
      <c r="J22" s="9">
        <f t="shared" si="6"/>
        <v>0</v>
      </c>
    </row>
    <row r="23" outlineLevel="1">
      <c r="A23" s="22" t="s">
        <v>37</v>
      </c>
      <c r="B23" s="26" t="s">
        <v>38</v>
      </c>
      <c r="C23" s="16" t="s">
        <v>34</v>
      </c>
      <c r="D23" s="23">
        <v>106.9</v>
      </c>
      <c r="E23" s="24">
        <v>534.5</v>
      </c>
      <c r="G23" t="str">
        <f t="shared" si="4"/>
        <v/>
      </c>
      <c r="H23" s="25">
        <f t="shared" si="5"/>
        <v>0</v>
      </c>
      <c r="I23" s="25">
        <v>0.0</v>
      </c>
      <c r="J23" s="9">
        <f t="shared" si="6"/>
        <v>0</v>
      </c>
    </row>
    <row r="24" outlineLevel="1">
      <c r="A24" s="22" t="s">
        <v>39</v>
      </c>
      <c r="B24" s="26" t="s">
        <v>40</v>
      </c>
      <c r="C24" s="16" t="s">
        <v>34</v>
      </c>
      <c r="D24" s="23">
        <v>122.0</v>
      </c>
      <c r="E24" s="24">
        <v>610.0</v>
      </c>
      <c r="G24" t="str">
        <f t="shared" si="4"/>
        <v/>
      </c>
      <c r="H24" s="25">
        <f t="shared" si="5"/>
        <v>0</v>
      </c>
      <c r="I24" s="25">
        <v>0.0</v>
      </c>
      <c r="J24" s="9">
        <f t="shared" si="6"/>
        <v>0</v>
      </c>
    </row>
    <row r="25" outlineLevel="1">
      <c r="A25" s="22" t="s">
        <v>41</v>
      </c>
      <c r="B25" s="17" t="s">
        <v>42</v>
      </c>
      <c r="C25" s="16" t="s">
        <v>34</v>
      </c>
      <c r="D25" s="23">
        <v>137.1</v>
      </c>
      <c r="E25" s="24">
        <v>685.5</v>
      </c>
      <c r="F25" s="16"/>
      <c r="G25" s="16" t="str">
        <f t="shared" si="4"/>
        <v/>
      </c>
      <c r="H25" s="25">
        <f t="shared" si="5"/>
        <v>0</v>
      </c>
      <c r="I25" s="25">
        <v>0.0</v>
      </c>
      <c r="J25" s="9">
        <f t="shared" si="6"/>
        <v>0</v>
      </c>
    </row>
    <row r="26" outlineLevel="1">
      <c r="A26" s="22" t="s">
        <v>43</v>
      </c>
      <c r="B26" s="17" t="s">
        <v>44</v>
      </c>
      <c r="C26" s="16" t="s">
        <v>34</v>
      </c>
      <c r="D26" s="23">
        <v>239.7</v>
      </c>
      <c r="E26" s="24">
        <v>1198.5</v>
      </c>
      <c r="G26" t="str">
        <f t="shared" si="4"/>
        <v/>
      </c>
      <c r="H26" s="25">
        <f t="shared" si="5"/>
        <v>0</v>
      </c>
      <c r="I26" s="25">
        <v>0.0</v>
      </c>
      <c r="J26" s="9">
        <f t="shared" si="6"/>
        <v>0</v>
      </c>
    </row>
    <row r="27" outlineLevel="1">
      <c r="A27" s="22" t="s">
        <v>45</v>
      </c>
      <c r="B27" s="26" t="s">
        <v>46</v>
      </c>
      <c r="C27" s="16" t="s">
        <v>34</v>
      </c>
      <c r="D27" s="23">
        <v>123.1</v>
      </c>
      <c r="E27" s="24">
        <v>615.5</v>
      </c>
      <c r="F27" s="16"/>
      <c r="G27" t="str">
        <f t="shared" si="4"/>
        <v/>
      </c>
      <c r="H27" s="25">
        <f t="shared" si="5"/>
        <v>0</v>
      </c>
      <c r="I27" s="25">
        <v>0.0</v>
      </c>
      <c r="J27" s="9">
        <f t="shared" si="6"/>
        <v>0</v>
      </c>
    </row>
    <row r="28" outlineLevel="1">
      <c r="A28" s="22" t="s">
        <v>47</v>
      </c>
      <c r="B28" s="17" t="s">
        <v>48</v>
      </c>
      <c r="C28" s="16" t="s">
        <v>34</v>
      </c>
      <c r="D28" s="23">
        <v>197.6</v>
      </c>
      <c r="E28" s="24">
        <v>988.0</v>
      </c>
      <c r="F28" s="16"/>
      <c r="G28" t="str">
        <f t="shared" si="4"/>
        <v/>
      </c>
      <c r="H28" s="25">
        <f t="shared" si="5"/>
        <v>0</v>
      </c>
      <c r="I28" s="25">
        <v>0.0</v>
      </c>
      <c r="J28" s="9">
        <f t="shared" si="6"/>
        <v>0</v>
      </c>
    </row>
    <row r="29" outlineLevel="1">
      <c r="A29" s="22" t="s">
        <v>49</v>
      </c>
      <c r="B29" s="26" t="s">
        <v>50</v>
      </c>
      <c r="C29" s="16" t="s">
        <v>34</v>
      </c>
      <c r="D29" s="23">
        <v>149.0</v>
      </c>
      <c r="E29" s="24">
        <v>745.0</v>
      </c>
      <c r="F29" s="16"/>
      <c r="G29" t="str">
        <f t="shared" si="4"/>
        <v/>
      </c>
      <c r="H29" s="25">
        <f t="shared" si="5"/>
        <v>0</v>
      </c>
      <c r="I29" s="25">
        <v>0.0</v>
      </c>
      <c r="J29" s="9">
        <f t="shared" si="6"/>
        <v>0</v>
      </c>
    </row>
    <row r="30" outlineLevel="1">
      <c r="A30" s="22" t="s">
        <v>51</v>
      </c>
      <c r="B30" s="17" t="s">
        <v>52</v>
      </c>
      <c r="C30" s="16" t="s">
        <v>34</v>
      </c>
      <c r="D30" s="23">
        <v>181.4</v>
      </c>
      <c r="E30" s="24">
        <v>907.0</v>
      </c>
      <c r="F30" s="16"/>
      <c r="G30" t="str">
        <f t="shared" si="4"/>
        <v/>
      </c>
      <c r="H30" s="25">
        <f t="shared" si="5"/>
        <v>0</v>
      </c>
      <c r="I30" s="25">
        <v>0.0</v>
      </c>
      <c r="J30" s="9">
        <f t="shared" si="6"/>
        <v>0</v>
      </c>
    </row>
    <row r="31" outlineLevel="1">
      <c r="A31" s="22" t="s">
        <v>53</v>
      </c>
      <c r="B31" s="17" t="s">
        <v>54</v>
      </c>
      <c r="C31" s="16" t="s">
        <v>34</v>
      </c>
      <c r="D31" s="23">
        <v>302.4</v>
      </c>
      <c r="E31" s="24">
        <v>1512.0</v>
      </c>
      <c r="G31" t="str">
        <f t="shared" si="4"/>
        <v/>
      </c>
      <c r="H31" s="25">
        <f t="shared" si="5"/>
        <v>0</v>
      </c>
      <c r="I31" s="25">
        <v>0.0</v>
      </c>
      <c r="J31" s="9">
        <f t="shared" si="6"/>
        <v>0</v>
      </c>
    </row>
    <row r="32" outlineLevel="1">
      <c r="A32" s="22" t="s">
        <v>55</v>
      </c>
      <c r="B32" s="17" t="s">
        <v>56</v>
      </c>
      <c r="C32" s="16" t="s">
        <v>34</v>
      </c>
      <c r="D32" s="23">
        <v>106.9</v>
      </c>
      <c r="E32" s="24">
        <v>534.5</v>
      </c>
      <c r="G32" t="str">
        <f t="shared" si="4"/>
        <v/>
      </c>
      <c r="H32" s="25">
        <f t="shared" si="5"/>
        <v>0</v>
      </c>
      <c r="I32" s="25">
        <v>0.0</v>
      </c>
      <c r="J32" s="9">
        <f t="shared" si="6"/>
        <v>0</v>
      </c>
    </row>
    <row r="33" outlineLevel="1">
      <c r="A33" s="22" t="s">
        <v>57</v>
      </c>
      <c r="B33" s="17" t="s">
        <v>58</v>
      </c>
      <c r="C33" s="16" t="s">
        <v>34</v>
      </c>
      <c r="D33" s="23">
        <v>17.2</v>
      </c>
      <c r="E33" s="24">
        <v>86.0</v>
      </c>
      <c r="F33" s="16"/>
      <c r="G33" t="str">
        <f t="shared" si="4"/>
        <v/>
      </c>
      <c r="H33" s="25">
        <f t="shared" si="5"/>
        <v>0</v>
      </c>
      <c r="I33" s="25">
        <v>0.0</v>
      </c>
      <c r="J33" s="9">
        <f t="shared" si="6"/>
        <v>0</v>
      </c>
    </row>
    <row r="34" outlineLevel="1">
      <c r="A34" s="22" t="s">
        <v>59</v>
      </c>
      <c r="B34" s="17" t="s">
        <v>60</v>
      </c>
      <c r="C34" s="16" t="s">
        <v>34</v>
      </c>
      <c r="D34" s="23">
        <v>51.8</v>
      </c>
      <c r="E34" s="24">
        <v>259.0</v>
      </c>
      <c r="F34" s="16"/>
      <c r="G34" t="str">
        <f t="shared" si="4"/>
        <v/>
      </c>
      <c r="H34" s="25">
        <f t="shared" si="5"/>
        <v>0</v>
      </c>
      <c r="I34" s="25">
        <v>0.0</v>
      </c>
      <c r="J34" s="9">
        <f t="shared" si="6"/>
        <v>0</v>
      </c>
    </row>
    <row r="35" outlineLevel="1">
      <c r="A35" s="22" t="s">
        <v>61</v>
      </c>
      <c r="B35" s="17" t="s">
        <v>62</v>
      </c>
      <c r="C35" s="16" t="s">
        <v>34</v>
      </c>
      <c r="D35" s="23">
        <v>75.6</v>
      </c>
      <c r="E35" s="24">
        <v>378.0</v>
      </c>
      <c r="F35" s="16"/>
      <c r="G35" t="str">
        <f t="shared" si="4"/>
        <v/>
      </c>
      <c r="H35" s="25">
        <f t="shared" si="5"/>
        <v>0</v>
      </c>
      <c r="I35" s="25">
        <v>0.0</v>
      </c>
      <c r="J35" s="9">
        <f t="shared" si="6"/>
        <v>0</v>
      </c>
    </row>
    <row r="36" outlineLevel="1">
      <c r="A36" s="22" t="s">
        <v>63</v>
      </c>
      <c r="B36" s="17" t="s">
        <v>64</v>
      </c>
      <c r="C36" s="16" t="s">
        <v>34</v>
      </c>
      <c r="D36" s="23">
        <v>130.6</v>
      </c>
      <c r="E36" s="24">
        <v>653.0</v>
      </c>
      <c r="F36" s="16"/>
      <c r="G36" t="str">
        <f t="shared" si="4"/>
        <v/>
      </c>
      <c r="H36" s="25">
        <f t="shared" si="5"/>
        <v>0</v>
      </c>
      <c r="I36" s="25">
        <v>0.0</v>
      </c>
      <c r="J36" s="9">
        <f t="shared" si="6"/>
        <v>0</v>
      </c>
    </row>
    <row r="37" outlineLevel="1">
      <c r="A37" s="22" t="s">
        <v>65</v>
      </c>
      <c r="B37" s="17" t="s">
        <v>66</v>
      </c>
      <c r="C37" s="16" t="s">
        <v>34</v>
      </c>
      <c r="D37" s="23">
        <v>58.3</v>
      </c>
      <c r="E37" s="24">
        <v>291.5</v>
      </c>
      <c r="G37" t="str">
        <f t="shared" si="4"/>
        <v/>
      </c>
      <c r="H37" s="25">
        <f t="shared" si="5"/>
        <v>0</v>
      </c>
      <c r="I37" s="25">
        <v>0.0</v>
      </c>
      <c r="J37" s="9">
        <f t="shared" si="6"/>
        <v>0</v>
      </c>
    </row>
    <row r="38" outlineLevel="1">
      <c r="A38" s="22" t="s">
        <v>67</v>
      </c>
      <c r="B38" s="17" t="s">
        <v>68</v>
      </c>
      <c r="C38" s="16" t="s">
        <v>34</v>
      </c>
      <c r="D38" s="23">
        <v>29.1</v>
      </c>
      <c r="E38" s="24">
        <v>145.5</v>
      </c>
      <c r="G38" t="str">
        <f t="shared" si="4"/>
        <v/>
      </c>
      <c r="H38" s="25">
        <f t="shared" si="5"/>
        <v>0</v>
      </c>
      <c r="I38" s="25">
        <v>0.0</v>
      </c>
      <c r="J38" s="9">
        <f t="shared" si="6"/>
        <v>0</v>
      </c>
    </row>
    <row r="39" outlineLevel="1">
      <c r="A39" s="22" t="s">
        <v>69</v>
      </c>
      <c r="B39" s="17" t="s">
        <v>70</v>
      </c>
      <c r="C39" s="16" t="s">
        <v>34</v>
      </c>
      <c r="D39" s="23">
        <v>15.1</v>
      </c>
      <c r="E39" s="24">
        <v>75.5</v>
      </c>
      <c r="F39" s="16"/>
      <c r="G39" t="str">
        <f t="shared" si="4"/>
        <v/>
      </c>
      <c r="H39" s="25">
        <f t="shared" si="5"/>
        <v>0</v>
      </c>
      <c r="I39" s="25">
        <v>0.0</v>
      </c>
      <c r="J39" s="9">
        <f t="shared" si="6"/>
        <v>0</v>
      </c>
    </row>
    <row r="40" outlineLevel="1">
      <c r="A40" s="22" t="s">
        <v>71</v>
      </c>
      <c r="B40" s="17" t="s">
        <v>72</v>
      </c>
      <c r="C40" s="16" t="s">
        <v>34</v>
      </c>
      <c r="D40" s="23">
        <v>90.7</v>
      </c>
      <c r="E40" s="24">
        <v>453.5</v>
      </c>
      <c r="G40" t="str">
        <f t="shared" si="4"/>
        <v/>
      </c>
      <c r="H40" s="25">
        <f t="shared" si="5"/>
        <v>0</v>
      </c>
      <c r="I40" s="25">
        <v>0.0</v>
      </c>
      <c r="J40" s="9">
        <f t="shared" si="6"/>
        <v>0</v>
      </c>
    </row>
    <row r="41">
      <c r="A41" s="22"/>
      <c r="B41" s="18"/>
      <c r="D41" s="9"/>
      <c r="E41" s="10"/>
      <c r="J41" s="9"/>
    </row>
    <row r="42">
      <c r="A42" s="1" t="s">
        <v>73</v>
      </c>
      <c r="B42" s="2" t="s">
        <v>74</v>
      </c>
      <c r="C42" s="21"/>
      <c r="D42" s="19"/>
      <c r="E42" s="20"/>
      <c r="F42" s="21"/>
      <c r="G42" s="21"/>
      <c r="J42" s="19">
        <f>SUM(J43:J47)</f>
        <v>0</v>
      </c>
    </row>
    <row r="43" outlineLevel="1">
      <c r="A43" s="22" t="s">
        <v>75</v>
      </c>
      <c r="B43" s="17" t="s">
        <v>76</v>
      </c>
      <c r="C43" s="16" t="s">
        <v>34</v>
      </c>
      <c r="D43" s="23">
        <v>16.2</v>
      </c>
      <c r="E43" s="24">
        <v>81.0</v>
      </c>
      <c r="G43" s="25"/>
      <c r="H43" s="25">
        <f t="shared" ref="H43:H47" si="7">F43*G43</f>
        <v>0</v>
      </c>
      <c r="I43" s="25">
        <v>0.0</v>
      </c>
      <c r="J43" s="9">
        <f t="shared" ref="J43:J47" si="8">D43*H43+E43*I43</f>
        <v>0</v>
      </c>
    </row>
    <row r="44" outlineLevel="1">
      <c r="A44" s="22" t="s">
        <v>77</v>
      </c>
      <c r="B44" s="17" t="s">
        <v>78</v>
      </c>
      <c r="C44" s="16" t="s">
        <v>34</v>
      </c>
      <c r="D44" s="23">
        <v>21.6</v>
      </c>
      <c r="E44" s="24">
        <v>108.0</v>
      </c>
      <c r="G44" s="25"/>
      <c r="H44" s="25">
        <f t="shared" si="7"/>
        <v>0</v>
      </c>
      <c r="I44" s="25">
        <v>0.0</v>
      </c>
      <c r="J44" s="9">
        <f t="shared" si="8"/>
        <v>0</v>
      </c>
    </row>
    <row r="45" outlineLevel="1">
      <c r="A45" s="22" t="s">
        <v>79</v>
      </c>
      <c r="B45" s="17" t="s">
        <v>80</v>
      </c>
      <c r="C45" s="16" t="s">
        <v>34</v>
      </c>
      <c r="D45" s="23"/>
      <c r="E45" s="24">
        <v>11.8</v>
      </c>
      <c r="G45" s="25"/>
      <c r="H45" s="25">
        <f t="shared" si="7"/>
        <v>0</v>
      </c>
      <c r="I45" s="25">
        <v>0.0</v>
      </c>
      <c r="J45" s="9">
        <f t="shared" si="8"/>
        <v>0</v>
      </c>
    </row>
    <row r="46" outlineLevel="1">
      <c r="A46" s="22" t="s">
        <v>81</v>
      </c>
      <c r="B46" s="17" t="s">
        <v>82</v>
      </c>
      <c r="C46" s="16" t="s">
        <v>34</v>
      </c>
      <c r="D46" s="23">
        <v>33.4</v>
      </c>
      <c r="E46" s="24">
        <v>167.0</v>
      </c>
      <c r="G46" s="25"/>
      <c r="H46" s="25">
        <f t="shared" si="7"/>
        <v>0</v>
      </c>
      <c r="I46" s="25">
        <v>0.0</v>
      </c>
      <c r="J46" s="9">
        <f t="shared" si="8"/>
        <v>0</v>
      </c>
    </row>
    <row r="47" outlineLevel="1">
      <c r="A47" s="22" t="s">
        <v>83</v>
      </c>
      <c r="B47" s="17" t="s">
        <v>84</v>
      </c>
      <c r="C47" s="16" t="s">
        <v>34</v>
      </c>
      <c r="D47" s="23">
        <v>10.8</v>
      </c>
      <c r="E47" s="24">
        <v>54.0</v>
      </c>
      <c r="G47" s="25"/>
      <c r="H47" s="25">
        <f t="shared" si="7"/>
        <v>0</v>
      </c>
      <c r="I47" s="25">
        <v>0.0</v>
      </c>
      <c r="J47" s="9">
        <f t="shared" si="8"/>
        <v>0</v>
      </c>
    </row>
    <row r="48">
      <c r="A48" s="8"/>
      <c r="B48" s="18"/>
      <c r="D48" s="9"/>
      <c r="E48" s="10"/>
      <c r="J48" s="9"/>
    </row>
    <row r="49">
      <c r="A49" s="1" t="s">
        <v>85</v>
      </c>
      <c r="B49" s="2" t="s">
        <v>86</v>
      </c>
      <c r="D49" s="19"/>
      <c r="E49" s="20"/>
      <c r="F49" s="21"/>
      <c r="G49" s="21"/>
      <c r="J49" s="19">
        <f>SUM(J50:J60)</f>
        <v>0</v>
      </c>
    </row>
    <row r="50" outlineLevel="1">
      <c r="A50" s="22" t="s">
        <v>87</v>
      </c>
      <c r="B50" s="16" t="s">
        <v>88</v>
      </c>
      <c r="C50" s="16" t="s">
        <v>34</v>
      </c>
      <c r="D50" s="23">
        <v>21.6</v>
      </c>
      <c r="E50" s="24">
        <v>108.0</v>
      </c>
      <c r="G50" s="25"/>
      <c r="H50" s="25">
        <f t="shared" ref="H50:H60" si="9">F50*If(G50&lt;&gt;"",G50,1)</f>
        <v>0</v>
      </c>
      <c r="I50" s="25">
        <v>0.0</v>
      </c>
      <c r="J50" s="9">
        <f t="shared" ref="J50:J60" si="10">D50*H50+E50*I50</f>
        <v>0</v>
      </c>
    </row>
    <row r="51" outlineLevel="1">
      <c r="A51" s="22" t="s">
        <v>89</v>
      </c>
      <c r="B51" s="17" t="s">
        <v>90</v>
      </c>
      <c r="C51" s="16" t="s">
        <v>34</v>
      </c>
      <c r="D51" s="23">
        <v>29.1</v>
      </c>
      <c r="E51" s="24">
        <v>145.5</v>
      </c>
      <c r="G51" s="25"/>
      <c r="H51" s="25">
        <f t="shared" si="9"/>
        <v>0</v>
      </c>
      <c r="I51" s="25">
        <v>0.0</v>
      </c>
      <c r="J51" s="9">
        <f t="shared" si="10"/>
        <v>0</v>
      </c>
    </row>
    <row r="52" outlineLevel="1">
      <c r="A52" s="22" t="s">
        <v>91</v>
      </c>
      <c r="B52" s="17" t="s">
        <v>92</v>
      </c>
      <c r="C52" s="16" t="s">
        <v>34</v>
      </c>
      <c r="D52" s="23">
        <v>38.8</v>
      </c>
      <c r="E52" s="24">
        <v>194.0</v>
      </c>
      <c r="G52" s="25"/>
      <c r="H52" s="25">
        <f t="shared" si="9"/>
        <v>0</v>
      </c>
      <c r="I52" s="25">
        <v>0.0</v>
      </c>
      <c r="J52" s="9">
        <f t="shared" si="10"/>
        <v>0</v>
      </c>
    </row>
    <row r="53" outlineLevel="1">
      <c r="A53" s="22" t="s">
        <v>93</v>
      </c>
      <c r="B53" s="17" t="s">
        <v>94</v>
      </c>
      <c r="C53" s="16" t="s">
        <v>34</v>
      </c>
      <c r="D53" s="23">
        <v>51.8</v>
      </c>
      <c r="E53" s="24">
        <v>259.0</v>
      </c>
      <c r="G53" s="25"/>
      <c r="H53" s="25">
        <f t="shared" si="9"/>
        <v>0</v>
      </c>
      <c r="I53" s="25">
        <v>0.0</v>
      </c>
      <c r="J53" s="9">
        <f t="shared" si="10"/>
        <v>0</v>
      </c>
    </row>
    <row r="54" outlineLevel="1">
      <c r="A54" s="22" t="s">
        <v>95</v>
      </c>
      <c r="B54" s="17" t="s">
        <v>96</v>
      </c>
      <c r="C54" s="16" t="s">
        <v>34</v>
      </c>
      <c r="D54" s="23">
        <v>63.7</v>
      </c>
      <c r="E54" s="24">
        <v>318.5</v>
      </c>
      <c r="G54" s="25"/>
      <c r="H54" s="25">
        <f t="shared" si="9"/>
        <v>0</v>
      </c>
      <c r="I54" s="25">
        <v>0.0</v>
      </c>
      <c r="J54" s="9">
        <f t="shared" si="10"/>
        <v>0</v>
      </c>
    </row>
    <row r="55" outlineLevel="1">
      <c r="A55" s="22" t="s">
        <v>97</v>
      </c>
      <c r="B55" s="17" t="s">
        <v>98</v>
      </c>
      <c r="C55" s="16" t="s">
        <v>34</v>
      </c>
      <c r="D55" s="23">
        <v>75.6</v>
      </c>
      <c r="E55" s="24">
        <v>378.0</v>
      </c>
      <c r="G55" s="25"/>
      <c r="H55" s="25">
        <f t="shared" si="9"/>
        <v>0</v>
      </c>
      <c r="I55" s="25">
        <v>0.0</v>
      </c>
      <c r="J55" s="9">
        <f t="shared" si="10"/>
        <v>0</v>
      </c>
    </row>
    <row r="56" outlineLevel="1">
      <c r="A56" s="22" t="s">
        <v>99</v>
      </c>
      <c r="B56" s="17" t="s">
        <v>100</v>
      </c>
      <c r="C56" s="16" t="s">
        <v>34</v>
      </c>
      <c r="D56" s="23">
        <v>87.4</v>
      </c>
      <c r="E56" s="24">
        <v>437.0</v>
      </c>
      <c r="G56" s="25"/>
      <c r="H56" s="25">
        <f t="shared" si="9"/>
        <v>0</v>
      </c>
      <c r="I56" s="25">
        <v>0.0</v>
      </c>
      <c r="J56" s="9">
        <f t="shared" si="10"/>
        <v>0</v>
      </c>
    </row>
    <row r="57" outlineLevel="1">
      <c r="A57" s="22" t="s">
        <v>101</v>
      </c>
      <c r="B57" s="17" t="s">
        <v>102</v>
      </c>
      <c r="C57" s="16" t="s">
        <v>34</v>
      </c>
      <c r="D57" s="23">
        <v>110.1</v>
      </c>
      <c r="E57" s="24">
        <v>550.5</v>
      </c>
      <c r="G57" s="25"/>
      <c r="H57" s="25">
        <f t="shared" si="9"/>
        <v>0</v>
      </c>
      <c r="I57" s="25">
        <v>0.0</v>
      </c>
      <c r="J57" s="9">
        <f t="shared" si="10"/>
        <v>0</v>
      </c>
    </row>
    <row r="58" outlineLevel="1">
      <c r="A58" s="22" t="s">
        <v>103</v>
      </c>
      <c r="B58" s="17" t="s">
        <v>104</v>
      </c>
      <c r="C58" s="16" t="s">
        <v>34</v>
      </c>
      <c r="D58" s="23">
        <v>27.0</v>
      </c>
      <c r="E58" s="24">
        <v>135.0</v>
      </c>
      <c r="G58" s="25"/>
      <c r="H58" s="25">
        <f t="shared" si="9"/>
        <v>0</v>
      </c>
      <c r="I58" s="25">
        <v>0.0</v>
      </c>
      <c r="J58" s="9">
        <f t="shared" si="10"/>
        <v>0</v>
      </c>
    </row>
    <row r="59" outlineLevel="1">
      <c r="A59" s="22" t="s">
        <v>105</v>
      </c>
      <c r="B59" s="17" t="s">
        <v>106</v>
      </c>
      <c r="C59" s="16" t="s">
        <v>34</v>
      </c>
      <c r="D59" s="23">
        <v>110.1</v>
      </c>
      <c r="E59" s="24">
        <v>550.5</v>
      </c>
      <c r="G59" s="25"/>
      <c r="H59" s="25">
        <f t="shared" si="9"/>
        <v>0</v>
      </c>
      <c r="I59" s="25">
        <v>0.0</v>
      </c>
      <c r="J59" s="9">
        <f t="shared" si="10"/>
        <v>0</v>
      </c>
    </row>
    <row r="60" outlineLevel="1">
      <c r="A60" s="22" t="s">
        <v>107</v>
      </c>
      <c r="B60" s="17" t="s">
        <v>108</v>
      </c>
      <c r="C60" s="16" t="s">
        <v>34</v>
      </c>
      <c r="D60" s="23">
        <v>90.7</v>
      </c>
      <c r="E60" s="24">
        <v>453.5</v>
      </c>
      <c r="G60" s="25"/>
      <c r="H60" s="25">
        <f t="shared" si="9"/>
        <v>0</v>
      </c>
      <c r="I60" s="25">
        <v>0.0</v>
      </c>
      <c r="J60" s="9">
        <f t="shared" si="10"/>
        <v>0</v>
      </c>
    </row>
    <row r="61">
      <c r="A61" s="22"/>
      <c r="B61" s="18"/>
      <c r="D61" s="9"/>
      <c r="E61" s="10"/>
      <c r="J61" s="9"/>
    </row>
    <row r="62">
      <c r="A62" s="1" t="s">
        <v>109</v>
      </c>
      <c r="B62" s="2" t="s">
        <v>110</v>
      </c>
      <c r="C62" s="3"/>
      <c r="D62" s="19"/>
      <c r="E62" s="20"/>
      <c r="F62" s="21"/>
      <c r="G62" s="21"/>
      <c r="J62" s="19">
        <f>SUM(J63:J64)</f>
        <v>0</v>
      </c>
    </row>
    <row r="63" outlineLevel="1">
      <c r="A63" s="22" t="s">
        <v>111</v>
      </c>
      <c r="B63" s="17" t="s">
        <v>112</v>
      </c>
      <c r="C63" s="16" t="s">
        <v>113</v>
      </c>
      <c r="D63" s="23">
        <v>4.3</v>
      </c>
      <c r="E63" s="10"/>
      <c r="F63" s="16"/>
      <c r="G63" s="25"/>
      <c r="H63" s="25">
        <f t="shared" ref="H63:H64" si="11">F63*If(G63&lt;&gt;"",G63,1)</f>
        <v>0</v>
      </c>
      <c r="I63" s="25">
        <v>0.0</v>
      </c>
      <c r="J63" s="9">
        <f t="shared" ref="J63:J64" si="12">D63*H63+E63*I63</f>
        <v>0</v>
      </c>
    </row>
    <row r="64" outlineLevel="1">
      <c r="A64" s="22" t="s">
        <v>114</v>
      </c>
      <c r="B64" s="17" t="s">
        <v>115</v>
      </c>
      <c r="C64" s="16" t="s">
        <v>113</v>
      </c>
      <c r="D64" s="23">
        <v>6.4</v>
      </c>
      <c r="E64" s="10"/>
      <c r="F64" s="16"/>
      <c r="G64" s="25"/>
      <c r="H64" s="25">
        <f t="shared" si="11"/>
        <v>0</v>
      </c>
      <c r="I64" s="25">
        <v>0.0</v>
      </c>
      <c r="J64" s="9">
        <f t="shared" si="12"/>
        <v>0</v>
      </c>
    </row>
    <row r="65">
      <c r="A65" s="8"/>
      <c r="B65" s="18"/>
      <c r="D65" s="9"/>
      <c r="E65" s="10"/>
      <c r="J65" s="9"/>
    </row>
    <row r="66">
      <c r="A66" s="1" t="s">
        <v>116</v>
      </c>
      <c r="B66" s="2" t="s">
        <v>117</v>
      </c>
      <c r="C66" s="21"/>
      <c r="D66" s="19"/>
      <c r="E66" s="20"/>
      <c r="F66" s="21"/>
      <c r="G66" s="21"/>
      <c r="J66" s="19">
        <f>SUM(J67:J73)</f>
        <v>0</v>
      </c>
    </row>
    <row r="67" outlineLevel="1">
      <c r="A67" s="22" t="s">
        <v>118</v>
      </c>
      <c r="B67" s="16" t="s">
        <v>119</v>
      </c>
      <c r="C67" s="16" t="s">
        <v>120</v>
      </c>
      <c r="D67" s="9"/>
      <c r="E67" s="24"/>
      <c r="G67" s="16"/>
      <c r="H67" s="25">
        <f t="shared" ref="H67:H73" si="13">F67*If(G67&lt;&gt;"",G67,1)</f>
        <v>0</v>
      </c>
      <c r="I67" s="25">
        <v>0.0</v>
      </c>
      <c r="J67" s="9">
        <f t="shared" ref="J67:J73" si="14">D67*H67+E67*I67</f>
        <v>0</v>
      </c>
    </row>
    <row r="68" outlineLevel="1">
      <c r="A68" s="22" t="s">
        <v>121</v>
      </c>
      <c r="B68" s="17" t="s">
        <v>122</v>
      </c>
      <c r="C68" s="16" t="s">
        <v>34</v>
      </c>
      <c r="D68" s="23">
        <v>37.8</v>
      </c>
      <c r="E68" s="24">
        <v>189.0</v>
      </c>
      <c r="G68" s="16"/>
      <c r="H68" s="25">
        <f t="shared" si="13"/>
        <v>0</v>
      </c>
      <c r="I68" s="25">
        <v>0.0</v>
      </c>
      <c r="J68" s="9">
        <f t="shared" si="14"/>
        <v>0</v>
      </c>
    </row>
    <row r="69" outlineLevel="1">
      <c r="A69" s="22" t="s">
        <v>123</v>
      </c>
      <c r="B69" s="17" t="s">
        <v>124</v>
      </c>
      <c r="C69" s="16" t="s">
        <v>34</v>
      </c>
      <c r="D69" s="23">
        <v>49.6</v>
      </c>
      <c r="E69" s="24">
        <v>248.0</v>
      </c>
      <c r="G69" s="16"/>
      <c r="H69" s="25">
        <f t="shared" si="13"/>
        <v>0</v>
      </c>
      <c r="I69" s="25">
        <v>0.0</v>
      </c>
      <c r="J69" s="9">
        <f t="shared" si="14"/>
        <v>0</v>
      </c>
    </row>
    <row r="70" outlineLevel="1">
      <c r="A70" s="22" t="s">
        <v>125</v>
      </c>
      <c r="B70" s="17" t="s">
        <v>126</v>
      </c>
      <c r="C70" s="16" t="s">
        <v>34</v>
      </c>
      <c r="D70" s="9"/>
      <c r="E70" s="24">
        <v>47.5</v>
      </c>
      <c r="G70" s="16"/>
      <c r="H70" s="25">
        <f t="shared" si="13"/>
        <v>0</v>
      </c>
      <c r="I70" s="25">
        <v>0.0</v>
      </c>
      <c r="J70" s="9">
        <f t="shared" si="14"/>
        <v>0</v>
      </c>
    </row>
    <row r="71" outlineLevel="1">
      <c r="A71" s="22" t="s">
        <v>127</v>
      </c>
      <c r="B71" s="17" t="s">
        <v>128</v>
      </c>
      <c r="C71" s="16" t="s">
        <v>34</v>
      </c>
      <c r="D71" s="9"/>
      <c r="E71" s="24">
        <v>65.8</v>
      </c>
      <c r="G71" s="16"/>
      <c r="H71" s="25">
        <f t="shared" si="13"/>
        <v>0</v>
      </c>
      <c r="I71" s="25">
        <v>0.0</v>
      </c>
      <c r="J71" s="9">
        <f t="shared" si="14"/>
        <v>0</v>
      </c>
    </row>
    <row r="72" outlineLevel="1">
      <c r="A72" s="22" t="s">
        <v>129</v>
      </c>
      <c r="B72" s="17" t="s">
        <v>130</v>
      </c>
      <c r="C72" s="16" t="s">
        <v>34</v>
      </c>
      <c r="D72" s="23">
        <v>38.8</v>
      </c>
      <c r="E72" s="24">
        <v>194.0</v>
      </c>
      <c r="G72" s="16"/>
      <c r="H72" s="25">
        <f t="shared" si="13"/>
        <v>0</v>
      </c>
      <c r="I72" s="25">
        <v>0.0</v>
      </c>
      <c r="J72" s="9">
        <f t="shared" si="14"/>
        <v>0</v>
      </c>
    </row>
    <row r="73" outlineLevel="1">
      <c r="A73" s="22" t="s">
        <v>131</v>
      </c>
      <c r="B73" s="17" t="s">
        <v>132</v>
      </c>
      <c r="C73" s="16" t="s">
        <v>34</v>
      </c>
      <c r="D73" s="23">
        <v>58.3</v>
      </c>
      <c r="E73" s="24">
        <v>291.5</v>
      </c>
      <c r="G73" s="16"/>
      <c r="H73" s="25">
        <f t="shared" si="13"/>
        <v>0</v>
      </c>
      <c r="I73" s="25">
        <v>0.0</v>
      </c>
      <c r="J73" s="9">
        <f t="shared" si="14"/>
        <v>0</v>
      </c>
    </row>
    <row r="74">
      <c r="A74" s="22"/>
      <c r="B74" s="18"/>
      <c r="D74" s="9"/>
      <c r="E74" s="10"/>
      <c r="J74" s="9"/>
    </row>
    <row r="75">
      <c r="A75" s="1" t="s">
        <v>133</v>
      </c>
      <c r="B75" s="2" t="s">
        <v>134</v>
      </c>
      <c r="C75" s="3"/>
      <c r="D75" s="19"/>
      <c r="E75" s="20"/>
      <c r="F75" s="21"/>
      <c r="G75" s="21"/>
      <c r="J75" s="19">
        <f>SUM(J76:J78)</f>
        <v>0</v>
      </c>
    </row>
    <row r="76" outlineLevel="1">
      <c r="A76" s="22" t="s">
        <v>135</v>
      </c>
      <c r="B76" s="17" t="s">
        <v>136</v>
      </c>
      <c r="C76" s="16" t="s">
        <v>34</v>
      </c>
      <c r="D76" s="23">
        <v>19.4</v>
      </c>
      <c r="E76" s="24">
        <v>97.0</v>
      </c>
      <c r="G76" s="25"/>
      <c r="H76" s="25">
        <f t="shared" ref="H76:H78" si="15">F76*If(G76&lt;&gt;"",G76,1)</f>
        <v>0</v>
      </c>
      <c r="I76" s="25">
        <v>0.0</v>
      </c>
      <c r="J76" s="9">
        <f t="shared" ref="J76:J78" si="16">D76*H76+E76*I76</f>
        <v>0</v>
      </c>
    </row>
    <row r="77" outlineLevel="1">
      <c r="A77" s="22" t="s">
        <v>137</v>
      </c>
      <c r="B77" s="17" t="s">
        <v>138</v>
      </c>
      <c r="C77" s="16" t="s">
        <v>34</v>
      </c>
      <c r="D77" s="23"/>
      <c r="E77" s="24">
        <v>25.9</v>
      </c>
      <c r="G77" s="25"/>
      <c r="H77" s="25">
        <f t="shared" si="15"/>
        <v>0</v>
      </c>
      <c r="I77" s="25">
        <v>0.0</v>
      </c>
      <c r="J77" s="9">
        <f t="shared" si="16"/>
        <v>0</v>
      </c>
    </row>
    <row r="78" outlineLevel="1">
      <c r="A78" s="22" t="s">
        <v>139</v>
      </c>
      <c r="B78" s="17" t="s">
        <v>140</v>
      </c>
      <c r="C78" s="16" t="s">
        <v>34</v>
      </c>
      <c r="D78" s="23"/>
      <c r="E78" s="24">
        <v>29.1</v>
      </c>
      <c r="G78" s="25"/>
      <c r="H78" s="25">
        <f t="shared" si="15"/>
        <v>0</v>
      </c>
      <c r="I78" s="25">
        <v>0.0</v>
      </c>
      <c r="J78" s="9">
        <f t="shared" si="16"/>
        <v>0</v>
      </c>
    </row>
    <row r="79">
      <c r="A79" s="22"/>
      <c r="B79" s="18"/>
      <c r="D79" s="9"/>
      <c r="E79" s="10"/>
      <c r="J79" s="9"/>
    </row>
    <row r="80">
      <c r="A80" s="1" t="s">
        <v>141</v>
      </c>
      <c r="B80" s="2" t="s">
        <v>142</v>
      </c>
      <c r="C80" s="21"/>
      <c r="D80" s="19"/>
      <c r="E80" s="20"/>
      <c r="F80" s="21"/>
      <c r="G80" s="21"/>
      <c r="J80" s="19">
        <f>SUM(J81:J84)</f>
        <v>0</v>
      </c>
    </row>
    <row r="81" outlineLevel="1">
      <c r="A81" s="22" t="s">
        <v>143</v>
      </c>
      <c r="B81" s="17" t="s">
        <v>144</v>
      </c>
      <c r="C81" s="16" t="s">
        <v>34</v>
      </c>
      <c r="D81" s="23">
        <v>106.9</v>
      </c>
      <c r="E81" s="24">
        <v>534.5</v>
      </c>
      <c r="F81" s="16"/>
      <c r="G81" s="16"/>
      <c r="H81" s="25">
        <f t="shared" ref="H81:H84" si="17">F81*If(G81&lt;&gt;"",G81,1)</f>
        <v>0</v>
      </c>
      <c r="I81" s="25">
        <v>0.0</v>
      </c>
      <c r="J81" s="9">
        <f t="shared" ref="J81:J84" si="18">D81*H81+E81*I81</f>
        <v>0</v>
      </c>
    </row>
    <row r="82" outlineLevel="1">
      <c r="A82" s="22" t="s">
        <v>145</v>
      </c>
      <c r="B82" s="17" t="s">
        <v>146</v>
      </c>
      <c r="C82" s="16" t="s">
        <v>34</v>
      </c>
      <c r="D82" s="23">
        <v>15.1</v>
      </c>
      <c r="E82" s="24">
        <v>75.5</v>
      </c>
      <c r="G82" s="25"/>
      <c r="H82" s="25">
        <f t="shared" si="17"/>
        <v>0</v>
      </c>
      <c r="I82" s="25">
        <v>0.0</v>
      </c>
      <c r="J82" s="9">
        <f t="shared" si="18"/>
        <v>0</v>
      </c>
    </row>
    <row r="83" outlineLevel="1">
      <c r="A83" s="22" t="s">
        <v>147</v>
      </c>
      <c r="B83" s="17" t="s">
        <v>148</v>
      </c>
      <c r="C83" s="16" t="s">
        <v>34</v>
      </c>
      <c r="D83" s="23">
        <v>38.8</v>
      </c>
      <c r="E83" s="24">
        <v>194.0</v>
      </c>
      <c r="G83" s="25"/>
      <c r="H83" s="25">
        <f t="shared" si="17"/>
        <v>0</v>
      </c>
      <c r="I83" s="25">
        <v>0.0</v>
      </c>
      <c r="J83" s="9">
        <f t="shared" si="18"/>
        <v>0</v>
      </c>
    </row>
    <row r="84" outlineLevel="1">
      <c r="A84" s="22" t="s">
        <v>149</v>
      </c>
      <c r="B84" s="17" t="s">
        <v>150</v>
      </c>
      <c r="C84" s="16" t="s">
        <v>34</v>
      </c>
      <c r="D84" s="23">
        <v>15.1</v>
      </c>
      <c r="E84" s="24">
        <v>75.5</v>
      </c>
      <c r="G84" s="25"/>
      <c r="H84" s="25">
        <f t="shared" si="17"/>
        <v>0</v>
      </c>
      <c r="I84" s="25">
        <v>0.0</v>
      </c>
      <c r="J84" s="9">
        <f t="shared" si="18"/>
        <v>0</v>
      </c>
    </row>
    <row r="85">
      <c r="A85" s="22"/>
      <c r="B85" s="18"/>
      <c r="D85" s="9"/>
      <c r="E85" s="24"/>
      <c r="J85" s="9"/>
    </row>
    <row r="86">
      <c r="A86" s="1" t="s">
        <v>151</v>
      </c>
      <c r="B86" s="2" t="s">
        <v>152</v>
      </c>
      <c r="C86" s="21"/>
      <c r="D86" s="19"/>
      <c r="E86" s="20"/>
      <c r="F86" s="21"/>
      <c r="G86" s="21"/>
      <c r="J86" s="19">
        <f>SUM(J87:J90)</f>
        <v>0</v>
      </c>
    </row>
    <row r="87" outlineLevel="1">
      <c r="A87" s="22" t="s">
        <v>153</v>
      </c>
      <c r="B87" s="17" t="s">
        <v>154</v>
      </c>
      <c r="C87" s="16" t="s">
        <v>34</v>
      </c>
      <c r="D87" s="23"/>
      <c r="E87" s="24">
        <v>50.7</v>
      </c>
      <c r="F87" s="16"/>
      <c r="G87" s="16"/>
      <c r="H87" s="25">
        <f t="shared" ref="H87:H90" si="19">F87*If(G87&lt;&gt;"",G87,1)</f>
        <v>0</v>
      </c>
      <c r="I87" s="16">
        <v>0.0</v>
      </c>
      <c r="J87" s="9">
        <f>H87*E87</f>
        <v>0</v>
      </c>
    </row>
    <row r="88" outlineLevel="1">
      <c r="A88" s="22" t="s">
        <v>155</v>
      </c>
      <c r="B88" s="17" t="s">
        <v>156</v>
      </c>
      <c r="C88" s="16" t="s">
        <v>34</v>
      </c>
      <c r="D88" s="23"/>
      <c r="E88" s="24">
        <v>75.6</v>
      </c>
      <c r="G88" s="25"/>
      <c r="H88" s="25">
        <f t="shared" si="19"/>
        <v>0</v>
      </c>
      <c r="I88" s="25">
        <v>0.0</v>
      </c>
      <c r="J88" s="9">
        <f t="shared" ref="J88:J90" si="20">D88*H88+E88*I88</f>
        <v>0</v>
      </c>
    </row>
    <row r="89" outlineLevel="1">
      <c r="A89" s="22" t="s">
        <v>157</v>
      </c>
      <c r="B89" s="16" t="s">
        <v>158</v>
      </c>
      <c r="C89" s="16" t="s">
        <v>34</v>
      </c>
      <c r="D89" s="23">
        <v>21.6</v>
      </c>
      <c r="E89" s="24">
        <v>108.0</v>
      </c>
      <c r="G89" s="25"/>
      <c r="H89" s="25">
        <f t="shared" si="19"/>
        <v>0</v>
      </c>
      <c r="I89" s="25">
        <v>0.0</v>
      </c>
      <c r="J89" s="9">
        <f t="shared" si="20"/>
        <v>0</v>
      </c>
    </row>
    <row r="90" outlineLevel="1">
      <c r="A90" s="22" t="s">
        <v>159</v>
      </c>
      <c r="B90" s="17" t="s">
        <v>160</v>
      </c>
      <c r="C90" s="16" t="s">
        <v>34</v>
      </c>
      <c r="D90" s="23"/>
      <c r="E90" s="24">
        <v>144.7</v>
      </c>
      <c r="G90" s="25"/>
      <c r="H90" s="25">
        <f t="shared" si="19"/>
        <v>0</v>
      </c>
      <c r="I90" s="25">
        <v>0.0</v>
      </c>
      <c r="J90" s="9">
        <f t="shared" si="20"/>
        <v>0</v>
      </c>
    </row>
    <row r="91">
      <c r="A91" s="22"/>
      <c r="B91" s="18"/>
      <c r="D91" s="9"/>
      <c r="E91" s="10"/>
      <c r="J91" s="9"/>
    </row>
    <row r="92">
      <c r="A92" s="22"/>
      <c r="B92" s="18"/>
      <c r="D92" s="9"/>
      <c r="E92" s="10"/>
      <c r="J92" s="9"/>
    </row>
    <row r="93">
      <c r="A93" s="22"/>
      <c r="B93" s="2" t="s">
        <v>161</v>
      </c>
      <c r="D93" s="9"/>
      <c r="E93" s="10"/>
      <c r="J93" s="9"/>
    </row>
    <row r="94">
      <c r="A94" s="22"/>
      <c r="B94" s="2"/>
      <c r="D94" s="9"/>
      <c r="E94" s="10"/>
      <c r="J94" s="9"/>
    </row>
    <row r="95">
      <c r="A95" s="1" t="s">
        <v>162</v>
      </c>
      <c r="B95" s="2" t="s">
        <v>163</v>
      </c>
      <c r="C95" s="21"/>
      <c r="D95" s="19"/>
      <c r="E95" s="20"/>
      <c r="F95" s="21"/>
      <c r="G95" s="21"/>
      <c r="J95" s="19">
        <f>SUM(J96:J102)</f>
        <v>0</v>
      </c>
    </row>
    <row r="96" outlineLevel="1">
      <c r="A96" s="22" t="s">
        <v>164</v>
      </c>
      <c r="B96" s="17" t="s">
        <v>165</v>
      </c>
      <c r="C96" s="16" t="str">
        <f>"nach Aufwand, mind. "&amp;E96&amp; " €"</f>
        <v>nach Aufwand, mind. 55 €</v>
      </c>
      <c r="D96" s="9"/>
      <c r="E96" s="24">
        <v>55.0</v>
      </c>
      <c r="G96" s="25"/>
      <c r="H96" s="25">
        <f t="shared" ref="H96:H102" si="21">F96*G96</f>
        <v>0</v>
      </c>
      <c r="I96" s="25">
        <v>0.0</v>
      </c>
      <c r="J96" s="9">
        <f t="shared" ref="J96:J102" si="22">D96*H96+E96*I96</f>
        <v>0</v>
      </c>
    </row>
    <row r="97" outlineLevel="1">
      <c r="A97" s="22" t="s">
        <v>166</v>
      </c>
      <c r="B97" s="17" t="s">
        <v>167</v>
      </c>
      <c r="C97" s="16" t="s">
        <v>120</v>
      </c>
      <c r="D97" s="9"/>
      <c r="E97" s="10"/>
      <c r="G97" s="25"/>
      <c r="H97" s="25">
        <f t="shared" si="21"/>
        <v>0</v>
      </c>
      <c r="I97" s="25">
        <v>0.0</v>
      </c>
      <c r="J97" s="9">
        <f t="shared" si="22"/>
        <v>0</v>
      </c>
    </row>
    <row r="98" outlineLevel="1">
      <c r="A98" s="22" t="s">
        <v>168</v>
      </c>
      <c r="B98" s="17" t="s">
        <v>169</v>
      </c>
      <c r="C98" s="16" t="str">
        <f>"nach Aufwand, mind. "&amp;E98&amp; " €"</f>
        <v>nach Aufwand, mind. 72,3 €</v>
      </c>
      <c r="D98" s="9"/>
      <c r="E98" s="24">
        <v>72.3</v>
      </c>
      <c r="G98" s="25"/>
      <c r="H98" s="25">
        <f t="shared" si="21"/>
        <v>0</v>
      </c>
      <c r="I98" s="25">
        <v>0.0</v>
      </c>
      <c r="J98" s="9">
        <f t="shared" si="22"/>
        <v>0</v>
      </c>
    </row>
    <row r="99" outlineLevel="1">
      <c r="A99" s="22" t="s">
        <v>170</v>
      </c>
      <c r="B99" s="17" t="s">
        <v>171</v>
      </c>
      <c r="C99" s="16" t="str">
        <f>E99&amp;" € bzw. nach Aufwand"</f>
        <v>259,2 € bzw. nach Aufwand</v>
      </c>
      <c r="D99" s="9"/>
      <c r="E99" s="24">
        <v>259.2</v>
      </c>
      <c r="G99" s="25"/>
      <c r="H99" s="25">
        <f t="shared" si="21"/>
        <v>0</v>
      </c>
      <c r="I99" s="25">
        <v>0.0</v>
      </c>
      <c r="J99" s="9">
        <f t="shared" si="22"/>
        <v>0</v>
      </c>
    </row>
    <row r="100" outlineLevel="1">
      <c r="A100" s="22" t="s">
        <v>172</v>
      </c>
      <c r="B100" s="17" t="s">
        <v>173</v>
      </c>
      <c r="C100" s="16" t="str">
        <f t="shared" ref="C100:C102" si="23">E100&amp;" € je Fahrt bzw. nach Aufwand"</f>
        <v>73,4 € je Fahrt bzw. nach Aufwand</v>
      </c>
      <c r="D100" s="9"/>
      <c r="E100" s="24">
        <v>73.4</v>
      </c>
      <c r="G100" s="25"/>
      <c r="H100" s="25">
        <f t="shared" si="21"/>
        <v>0</v>
      </c>
      <c r="I100" s="25">
        <v>0.0</v>
      </c>
      <c r="J100" s="9">
        <f t="shared" si="22"/>
        <v>0</v>
      </c>
    </row>
    <row r="101" outlineLevel="1">
      <c r="A101" s="22" t="s">
        <v>174</v>
      </c>
      <c r="B101" s="17" t="s">
        <v>175</v>
      </c>
      <c r="C101" s="16" t="str">
        <f t="shared" si="23"/>
        <v>99,3 € je Fahrt bzw. nach Aufwand</v>
      </c>
      <c r="D101" s="9"/>
      <c r="E101" s="24">
        <v>99.3</v>
      </c>
      <c r="G101" s="25"/>
      <c r="H101" s="25">
        <f t="shared" si="21"/>
        <v>0</v>
      </c>
      <c r="I101" s="16">
        <v>0.0</v>
      </c>
      <c r="J101" s="9">
        <f t="shared" si="22"/>
        <v>0</v>
      </c>
    </row>
    <row r="102" outlineLevel="1">
      <c r="A102" s="22" t="s">
        <v>176</v>
      </c>
      <c r="B102" s="17" t="s">
        <v>177</v>
      </c>
      <c r="C102" s="16" t="str">
        <f t="shared" si="23"/>
        <v>129,6 € je Fahrt bzw. nach Aufwand</v>
      </c>
      <c r="D102" s="9"/>
      <c r="E102" s="24">
        <v>129.6</v>
      </c>
      <c r="G102" s="25"/>
      <c r="H102" s="25">
        <f t="shared" si="21"/>
        <v>0</v>
      </c>
      <c r="I102" s="25">
        <v>0.0</v>
      </c>
      <c r="J102" s="9">
        <f t="shared" si="22"/>
        <v>0</v>
      </c>
    </row>
    <row r="103">
      <c r="A103" s="22"/>
      <c r="B103" s="18"/>
      <c r="D103" s="9"/>
      <c r="E103" s="10"/>
      <c r="J103" s="9"/>
    </row>
    <row r="104">
      <c r="A104" s="22"/>
      <c r="B104" s="18"/>
      <c r="D104" s="9"/>
      <c r="E104" s="10"/>
      <c r="J104" s="9"/>
    </row>
    <row r="105">
      <c r="A105" s="22"/>
      <c r="B105" s="2" t="s">
        <v>178</v>
      </c>
      <c r="D105" s="9"/>
      <c r="E105" s="10"/>
      <c r="J105" s="9"/>
    </row>
    <row r="106">
      <c r="A106" s="22"/>
      <c r="B106" s="2"/>
      <c r="D106" s="9"/>
      <c r="E106" s="10"/>
      <c r="J106" s="9"/>
    </row>
    <row r="107">
      <c r="A107" s="1" t="s">
        <v>179</v>
      </c>
      <c r="B107" s="2" t="s">
        <v>180</v>
      </c>
      <c r="C107" s="21"/>
      <c r="D107" s="19"/>
      <c r="E107" s="20"/>
      <c r="F107" s="21"/>
      <c r="G107" s="21"/>
      <c r="J107" s="19">
        <f>SUM(J108:J111)</f>
        <v>0</v>
      </c>
    </row>
    <row r="108" outlineLevel="1">
      <c r="A108" s="22" t="s">
        <v>181</v>
      </c>
      <c r="B108" s="17" t="s">
        <v>182</v>
      </c>
      <c r="C108" s="16" t="s">
        <v>183</v>
      </c>
      <c r="D108" s="9"/>
      <c r="E108" s="24">
        <v>112.3</v>
      </c>
      <c r="G108" s="25"/>
      <c r="H108">
        <f t="shared" ref="H108:H114" si="24">F108*G108</f>
        <v>0</v>
      </c>
      <c r="I108" s="25">
        <v>0.0</v>
      </c>
      <c r="J108" s="9">
        <f t="shared" ref="J108:J114" si="25">D108*H108+E108*I108</f>
        <v>0</v>
      </c>
    </row>
    <row r="109" outlineLevel="1">
      <c r="A109" s="22" t="s">
        <v>184</v>
      </c>
      <c r="B109" s="17" t="s">
        <v>185</v>
      </c>
      <c r="C109" s="16" t="s">
        <v>183</v>
      </c>
      <c r="D109" s="9"/>
      <c r="E109" s="24">
        <v>99.3</v>
      </c>
      <c r="G109" s="25"/>
      <c r="H109">
        <f t="shared" si="24"/>
        <v>0</v>
      </c>
      <c r="I109" s="25">
        <v>0.0</v>
      </c>
      <c r="J109" s="9">
        <f t="shared" si="25"/>
        <v>0</v>
      </c>
    </row>
    <row r="110" outlineLevel="1">
      <c r="A110" s="22" t="s">
        <v>186</v>
      </c>
      <c r="B110" s="17" t="s">
        <v>187</v>
      </c>
      <c r="C110" s="16" t="s">
        <v>188</v>
      </c>
      <c r="D110" s="9"/>
      <c r="E110" s="10"/>
      <c r="G110" s="25"/>
      <c r="H110">
        <f t="shared" si="24"/>
        <v>0</v>
      </c>
      <c r="I110" s="25">
        <v>0.0</v>
      </c>
      <c r="J110" s="9">
        <f t="shared" si="25"/>
        <v>0</v>
      </c>
    </row>
    <row r="111" outlineLevel="1">
      <c r="A111" s="22" t="s">
        <v>189</v>
      </c>
      <c r="B111" s="17" t="s">
        <v>190</v>
      </c>
      <c r="C111" s="16" t="s">
        <v>191</v>
      </c>
      <c r="D111" s="9"/>
      <c r="E111" s="24">
        <v>421.2</v>
      </c>
      <c r="G111" s="25"/>
      <c r="H111">
        <f t="shared" si="24"/>
        <v>0</v>
      </c>
      <c r="I111" s="25">
        <v>0.0</v>
      </c>
      <c r="J111" s="9">
        <f t="shared" si="25"/>
        <v>0</v>
      </c>
    </row>
    <row r="112" outlineLevel="1">
      <c r="A112" s="22" t="s">
        <v>192</v>
      </c>
      <c r="B112" s="17" t="s">
        <v>193</v>
      </c>
      <c r="D112" s="9"/>
      <c r="E112" s="24">
        <v>54.0</v>
      </c>
      <c r="G112" s="25"/>
      <c r="H112">
        <f t="shared" si="24"/>
        <v>0</v>
      </c>
      <c r="I112" s="25">
        <v>0.0</v>
      </c>
      <c r="J112" s="9">
        <f t="shared" si="25"/>
        <v>0</v>
      </c>
    </row>
    <row r="113" outlineLevel="1">
      <c r="A113" s="22" t="s">
        <v>194</v>
      </c>
      <c r="B113" s="17" t="s">
        <v>195</v>
      </c>
      <c r="D113" s="9"/>
      <c r="E113" s="24">
        <v>456.8</v>
      </c>
      <c r="G113" s="25"/>
      <c r="H113">
        <f t="shared" si="24"/>
        <v>0</v>
      </c>
      <c r="I113" s="25">
        <v>0.0</v>
      </c>
      <c r="J113" s="9">
        <f t="shared" si="25"/>
        <v>0</v>
      </c>
    </row>
    <row r="114" outlineLevel="1">
      <c r="A114" s="22" t="s">
        <v>196</v>
      </c>
      <c r="B114" s="17" t="s">
        <v>197</v>
      </c>
      <c r="C114" s="16" t="s">
        <v>198</v>
      </c>
      <c r="D114" s="23">
        <v>5.4</v>
      </c>
      <c r="E114" s="24">
        <v>21.6</v>
      </c>
      <c r="G114" s="25"/>
      <c r="H114">
        <f t="shared" si="24"/>
        <v>0</v>
      </c>
      <c r="I114" s="25">
        <v>0.0</v>
      </c>
      <c r="J114" s="9">
        <f t="shared" si="25"/>
        <v>0</v>
      </c>
    </row>
    <row r="115">
      <c r="A115" s="22"/>
      <c r="B115" s="17"/>
      <c r="C115" s="16"/>
      <c r="D115" s="9"/>
      <c r="E115" s="24"/>
      <c r="J115" s="9"/>
    </row>
    <row r="116">
      <c r="A116" s="22"/>
      <c r="B116" s="17"/>
      <c r="C116" s="16"/>
      <c r="D116" s="9"/>
      <c r="E116" s="24"/>
      <c r="J116" s="9"/>
    </row>
    <row r="117">
      <c r="A117" s="1"/>
      <c r="B117" s="2" t="s">
        <v>199</v>
      </c>
      <c r="C117" s="3"/>
      <c r="D117" s="19"/>
      <c r="E117" s="27"/>
      <c r="F117" s="21"/>
      <c r="G117" s="21"/>
      <c r="I117" s="21"/>
      <c r="J117" s="9"/>
    </row>
    <row r="118">
      <c r="A118" s="22"/>
      <c r="B118" s="17"/>
      <c r="C118" s="16"/>
      <c r="D118" s="9"/>
      <c r="E118" s="24"/>
      <c r="J118" s="9"/>
    </row>
    <row r="119">
      <c r="A119" s="1" t="s">
        <v>200</v>
      </c>
      <c r="B119" s="2" t="s">
        <v>201</v>
      </c>
      <c r="C119" s="3"/>
      <c r="D119" s="19"/>
      <c r="E119" s="27"/>
      <c r="F119" s="21"/>
      <c r="G119" s="21"/>
      <c r="I119" s="21"/>
      <c r="J119" s="19">
        <f>SUM(J120:J144)</f>
        <v>0</v>
      </c>
    </row>
    <row r="120" outlineLevel="1">
      <c r="A120" s="22" t="s">
        <v>202</v>
      </c>
      <c r="B120" s="17" t="s">
        <v>203</v>
      </c>
      <c r="C120" s="16" t="s">
        <v>204</v>
      </c>
      <c r="D120" s="23">
        <v>1.8</v>
      </c>
      <c r="E120" s="24"/>
      <c r="F120" s="16"/>
      <c r="G120" s="25"/>
      <c r="H120" s="25">
        <f t="shared" ref="H120:H144" si="26">F120*if(G120&lt;&gt;"",G120,1)</f>
        <v>0</v>
      </c>
      <c r="I120" s="25">
        <v>0.0</v>
      </c>
      <c r="J120" s="9">
        <f t="shared" ref="J120:J144" si="27">D120*H120+E120*I120</f>
        <v>0</v>
      </c>
    </row>
    <row r="121" outlineLevel="1">
      <c r="A121" s="22" t="s">
        <v>205</v>
      </c>
      <c r="B121" s="17" t="s">
        <v>206</v>
      </c>
      <c r="C121" s="16" t="s">
        <v>204</v>
      </c>
      <c r="D121" s="9"/>
      <c r="E121" s="24"/>
      <c r="G121" s="25"/>
      <c r="H121" s="25">
        <f t="shared" si="26"/>
        <v>0</v>
      </c>
      <c r="I121" s="25">
        <v>0.0</v>
      </c>
      <c r="J121" s="9">
        <f t="shared" si="27"/>
        <v>0</v>
      </c>
    </row>
    <row r="122" outlineLevel="1">
      <c r="A122" s="22" t="s">
        <v>207</v>
      </c>
      <c r="B122" s="17" t="s">
        <v>208</v>
      </c>
      <c r="C122" s="16" t="s">
        <v>204</v>
      </c>
      <c r="D122" s="9"/>
      <c r="E122" s="24"/>
      <c r="G122" s="25"/>
      <c r="H122" s="25">
        <f t="shared" si="26"/>
        <v>0</v>
      </c>
      <c r="I122" s="25">
        <v>0.0</v>
      </c>
      <c r="J122" s="9">
        <f t="shared" si="27"/>
        <v>0</v>
      </c>
    </row>
    <row r="123" outlineLevel="1">
      <c r="A123" s="22" t="s">
        <v>209</v>
      </c>
      <c r="B123" s="17" t="s">
        <v>210</v>
      </c>
      <c r="C123" s="16" t="s">
        <v>204</v>
      </c>
      <c r="D123" s="9"/>
      <c r="E123" s="10"/>
      <c r="G123" s="25"/>
      <c r="H123" s="25">
        <f t="shared" si="26"/>
        <v>0</v>
      </c>
      <c r="I123" s="25">
        <v>0.0</v>
      </c>
      <c r="J123" s="9">
        <f t="shared" si="27"/>
        <v>0</v>
      </c>
    </row>
    <row r="124" outlineLevel="1">
      <c r="A124" s="22" t="s">
        <v>211</v>
      </c>
      <c r="B124" s="17" t="s">
        <v>212</v>
      </c>
      <c r="C124" s="16" t="s">
        <v>213</v>
      </c>
      <c r="D124" s="23">
        <v>49.0</v>
      </c>
      <c r="E124" s="10"/>
      <c r="F124" s="16"/>
      <c r="G124" s="16"/>
      <c r="H124" s="25">
        <f t="shared" si="26"/>
        <v>0</v>
      </c>
      <c r="I124" s="25">
        <v>0.0</v>
      </c>
      <c r="J124" s="9">
        <f t="shared" si="27"/>
        <v>0</v>
      </c>
    </row>
    <row r="125" outlineLevel="1">
      <c r="A125" s="22" t="s">
        <v>214</v>
      </c>
      <c r="B125" s="17" t="s">
        <v>215</v>
      </c>
      <c r="C125" s="16" t="s">
        <v>216</v>
      </c>
      <c r="D125" s="23">
        <v>39.0</v>
      </c>
      <c r="E125" s="10"/>
      <c r="F125" s="16"/>
      <c r="G125" s="16"/>
      <c r="H125" s="25">
        <f t="shared" si="26"/>
        <v>0</v>
      </c>
      <c r="I125" s="25">
        <v>0.0</v>
      </c>
      <c r="J125" s="9">
        <f t="shared" si="27"/>
        <v>0</v>
      </c>
    </row>
    <row r="126" outlineLevel="1">
      <c r="A126" s="22" t="s">
        <v>217</v>
      </c>
      <c r="B126" s="17" t="s">
        <v>218</v>
      </c>
      <c r="C126" s="16" t="s">
        <v>216</v>
      </c>
      <c r="D126" s="23">
        <v>81.6</v>
      </c>
      <c r="E126" s="10"/>
      <c r="F126" s="16"/>
      <c r="G126" s="25"/>
      <c r="H126" s="25">
        <f t="shared" si="26"/>
        <v>0</v>
      </c>
      <c r="I126" s="25">
        <v>0.0</v>
      </c>
      <c r="J126" s="9">
        <f t="shared" si="27"/>
        <v>0</v>
      </c>
    </row>
    <row r="127" outlineLevel="1">
      <c r="A127" s="22" t="s">
        <v>219</v>
      </c>
      <c r="B127" s="17" t="s">
        <v>220</v>
      </c>
      <c r="C127" s="16" t="s">
        <v>216</v>
      </c>
      <c r="D127" s="23">
        <v>246.0</v>
      </c>
      <c r="E127" s="10"/>
      <c r="F127" s="16"/>
      <c r="G127" s="16"/>
      <c r="H127" s="25">
        <f t="shared" si="26"/>
        <v>0</v>
      </c>
      <c r="I127" s="25">
        <v>0.0</v>
      </c>
      <c r="J127" s="9">
        <f t="shared" si="27"/>
        <v>0</v>
      </c>
    </row>
    <row r="128" outlineLevel="1">
      <c r="A128" s="22" t="s">
        <v>221</v>
      </c>
      <c r="B128" s="17" t="s">
        <v>222</v>
      </c>
      <c r="C128" s="16" t="s">
        <v>216</v>
      </c>
      <c r="D128" s="23">
        <v>177.6</v>
      </c>
      <c r="E128" s="10"/>
      <c r="F128" s="16"/>
      <c r="G128" s="25"/>
      <c r="H128" s="25">
        <f t="shared" si="26"/>
        <v>0</v>
      </c>
      <c r="I128" s="25">
        <v>0.0</v>
      </c>
      <c r="J128" s="9">
        <f t="shared" si="27"/>
        <v>0</v>
      </c>
    </row>
    <row r="129" outlineLevel="1">
      <c r="A129" s="22" t="s">
        <v>223</v>
      </c>
      <c r="B129" s="28" t="s">
        <v>224</v>
      </c>
      <c r="C129" s="16" t="s">
        <v>216</v>
      </c>
      <c r="D129" s="23">
        <v>43.8</v>
      </c>
      <c r="E129" s="10"/>
      <c r="F129" s="16"/>
      <c r="G129" s="25"/>
      <c r="H129" s="25">
        <f t="shared" si="26"/>
        <v>0</v>
      </c>
      <c r="I129" s="25">
        <v>0.0</v>
      </c>
      <c r="J129" s="9">
        <f t="shared" si="27"/>
        <v>0</v>
      </c>
    </row>
    <row r="130" outlineLevel="1">
      <c r="A130" s="22" t="s">
        <v>225</v>
      </c>
      <c r="B130" s="17" t="s">
        <v>226</v>
      </c>
      <c r="C130" s="16" t="s">
        <v>216</v>
      </c>
      <c r="D130" s="23">
        <v>60.0</v>
      </c>
      <c r="E130" s="10"/>
      <c r="F130" s="16"/>
      <c r="G130" s="25"/>
      <c r="H130" s="25">
        <f t="shared" si="26"/>
        <v>0</v>
      </c>
      <c r="I130" s="25">
        <v>0.0</v>
      </c>
      <c r="J130" s="9">
        <f t="shared" si="27"/>
        <v>0</v>
      </c>
    </row>
    <row r="131" outlineLevel="1">
      <c r="A131" s="22" t="s">
        <v>227</v>
      </c>
      <c r="B131" s="17" t="s">
        <v>228</v>
      </c>
      <c r="C131" s="16" t="s">
        <v>216</v>
      </c>
      <c r="D131" s="23">
        <v>100.0</v>
      </c>
      <c r="E131" s="10"/>
      <c r="F131" s="16"/>
      <c r="G131" s="25"/>
      <c r="H131" s="25">
        <f t="shared" si="26"/>
        <v>0</v>
      </c>
      <c r="I131" s="25">
        <v>0.0</v>
      </c>
      <c r="J131" s="9">
        <f t="shared" si="27"/>
        <v>0</v>
      </c>
    </row>
    <row r="132" outlineLevel="1">
      <c r="A132" s="22" t="s">
        <v>229</v>
      </c>
      <c r="B132" s="17" t="s">
        <v>230</v>
      </c>
      <c r="C132" s="16" t="s">
        <v>216</v>
      </c>
      <c r="D132" s="23">
        <v>51.9</v>
      </c>
      <c r="E132" s="10"/>
      <c r="H132" s="25">
        <f t="shared" si="26"/>
        <v>0</v>
      </c>
      <c r="I132" s="25">
        <v>0.0</v>
      </c>
      <c r="J132" s="9">
        <f t="shared" si="27"/>
        <v>0</v>
      </c>
    </row>
    <row r="133" outlineLevel="1">
      <c r="A133" s="22" t="s">
        <v>231</v>
      </c>
      <c r="B133" s="17" t="s">
        <v>232</v>
      </c>
      <c r="C133" s="16" t="s">
        <v>216</v>
      </c>
      <c r="D133" s="23">
        <v>19.2</v>
      </c>
      <c r="E133" s="10"/>
      <c r="F133" s="16"/>
      <c r="G133" s="25"/>
      <c r="H133" s="25">
        <f t="shared" si="26"/>
        <v>0</v>
      </c>
      <c r="I133" s="25">
        <v>0.0</v>
      </c>
      <c r="J133" s="9">
        <f t="shared" si="27"/>
        <v>0</v>
      </c>
    </row>
    <row r="134" outlineLevel="1">
      <c r="A134" s="22" t="s">
        <v>233</v>
      </c>
      <c r="B134" s="17" t="s">
        <v>234</v>
      </c>
      <c r="C134" s="16" t="s">
        <v>216</v>
      </c>
      <c r="D134" s="23">
        <v>500.0</v>
      </c>
      <c r="E134" s="10"/>
      <c r="F134" s="16"/>
      <c r="G134" s="25"/>
      <c r="H134" s="25">
        <f t="shared" si="26"/>
        <v>0</v>
      </c>
      <c r="I134" s="25">
        <v>0.0</v>
      </c>
      <c r="J134" s="9">
        <f t="shared" si="27"/>
        <v>0</v>
      </c>
    </row>
    <row r="135" outlineLevel="1">
      <c r="A135" s="22" t="s">
        <v>235</v>
      </c>
      <c r="B135" s="17" t="s">
        <v>236</v>
      </c>
      <c r="C135" s="16" t="s">
        <v>216</v>
      </c>
      <c r="D135" s="23">
        <v>200.0</v>
      </c>
      <c r="E135" s="10"/>
      <c r="F135" s="16"/>
      <c r="G135" s="16"/>
      <c r="H135" s="25">
        <f t="shared" si="26"/>
        <v>0</v>
      </c>
      <c r="I135" s="25">
        <v>0.0</v>
      </c>
      <c r="J135" s="9">
        <f t="shared" si="27"/>
        <v>0</v>
      </c>
    </row>
    <row r="136" outlineLevel="1">
      <c r="A136" s="22" t="s">
        <v>237</v>
      </c>
      <c r="B136" s="17" t="s">
        <v>238</v>
      </c>
      <c r="C136" s="16" t="s">
        <v>216</v>
      </c>
      <c r="D136" s="23">
        <v>50.0</v>
      </c>
      <c r="E136" s="10"/>
      <c r="F136" s="16"/>
      <c r="G136" s="16"/>
      <c r="H136" s="25">
        <f t="shared" si="26"/>
        <v>0</v>
      </c>
      <c r="I136" s="25">
        <v>0.0</v>
      </c>
      <c r="J136" s="9">
        <f t="shared" si="27"/>
        <v>0</v>
      </c>
    </row>
    <row r="137" outlineLevel="1">
      <c r="A137" s="22" t="s">
        <v>239</v>
      </c>
      <c r="B137" s="29" t="s">
        <v>240</v>
      </c>
      <c r="C137" s="16" t="s">
        <v>216</v>
      </c>
      <c r="D137" s="30">
        <v>190.8</v>
      </c>
      <c r="E137" s="10"/>
      <c r="F137" s="16"/>
      <c r="G137" s="16"/>
      <c r="H137" s="25">
        <f t="shared" si="26"/>
        <v>0</v>
      </c>
      <c r="I137" s="25">
        <v>0.0</v>
      </c>
      <c r="J137" s="9">
        <f t="shared" si="27"/>
        <v>0</v>
      </c>
    </row>
    <row r="138" outlineLevel="1">
      <c r="A138" s="22" t="s">
        <v>241</v>
      </c>
      <c r="B138" s="29" t="s">
        <v>242</v>
      </c>
      <c r="C138" s="16" t="s">
        <v>216</v>
      </c>
      <c r="D138" s="30">
        <v>258.0</v>
      </c>
      <c r="E138" s="10"/>
      <c r="F138" s="16"/>
      <c r="G138" s="16"/>
      <c r="H138" s="25">
        <f t="shared" si="26"/>
        <v>0</v>
      </c>
      <c r="I138" s="25">
        <v>0.0</v>
      </c>
      <c r="J138" s="9">
        <f t="shared" si="27"/>
        <v>0</v>
      </c>
    </row>
    <row r="139" outlineLevel="1">
      <c r="A139" s="22" t="s">
        <v>243</v>
      </c>
      <c r="B139" s="29" t="s">
        <v>244</v>
      </c>
      <c r="C139" s="16" t="s">
        <v>216</v>
      </c>
      <c r="D139" s="30">
        <v>380.4</v>
      </c>
      <c r="E139" s="10"/>
      <c r="F139" s="16"/>
      <c r="G139" s="16"/>
      <c r="H139" s="25">
        <f t="shared" si="26"/>
        <v>0</v>
      </c>
      <c r="I139" s="25">
        <v>0.0</v>
      </c>
      <c r="J139" s="9">
        <f t="shared" si="27"/>
        <v>0</v>
      </c>
    </row>
    <row r="140" outlineLevel="1">
      <c r="A140" s="22" t="s">
        <v>245</v>
      </c>
      <c r="B140" s="31" t="s">
        <v>246</v>
      </c>
      <c r="C140" s="16" t="s">
        <v>216</v>
      </c>
      <c r="D140" s="32">
        <v>370.0</v>
      </c>
      <c r="E140" s="10"/>
      <c r="F140" s="16"/>
      <c r="G140" s="16"/>
      <c r="H140" s="25">
        <f t="shared" si="26"/>
        <v>0</v>
      </c>
      <c r="I140" s="25">
        <v>0.0</v>
      </c>
      <c r="J140" s="9">
        <f t="shared" si="27"/>
        <v>0</v>
      </c>
    </row>
    <row r="141" outlineLevel="1">
      <c r="A141" s="22" t="s">
        <v>247</v>
      </c>
      <c r="B141" s="31" t="s">
        <v>248</v>
      </c>
      <c r="C141" s="16" t="s">
        <v>216</v>
      </c>
      <c r="D141" s="32">
        <v>600.0</v>
      </c>
      <c r="E141" s="10"/>
      <c r="F141" s="16"/>
      <c r="G141" s="16"/>
      <c r="H141" s="25">
        <f t="shared" si="26"/>
        <v>0</v>
      </c>
      <c r="I141" s="25">
        <v>0.0</v>
      </c>
      <c r="J141" s="9">
        <f t="shared" si="27"/>
        <v>0</v>
      </c>
    </row>
    <row r="142" outlineLevel="1">
      <c r="A142" s="22" t="s">
        <v>249</v>
      </c>
      <c r="B142" s="31" t="s">
        <v>250</v>
      </c>
      <c r="C142" s="16" t="s">
        <v>216</v>
      </c>
      <c r="D142" s="32">
        <v>50.0</v>
      </c>
      <c r="E142" s="10"/>
      <c r="F142" s="16"/>
      <c r="G142" s="16"/>
      <c r="H142" s="25">
        <f t="shared" si="26"/>
        <v>0</v>
      </c>
      <c r="I142" s="25">
        <v>0.0</v>
      </c>
      <c r="J142" s="9">
        <f t="shared" si="27"/>
        <v>0</v>
      </c>
    </row>
    <row r="143" outlineLevel="1">
      <c r="A143" s="22" t="s">
        <v>251</v>
      </c>
      <c r="B143" s="31" t="s">
        <v>252</v>
      </c>
      <c r="C143" s="16" t="s">
        <v>253</v>
      </c>
      <c r="D143" s="32">
        <v>60.0</v>
      </c>
      <c r="E143" s="10"/>
      <c r="F143" s="16"/>
      <c r="G143" s="16"/>
      <c r="H143" s="25">
        <f t="shared" si="26"/>
        <v>0</v>
      </c>
      <c r="I143" s="25">
        <v>0.0</v>
      </c>
      <c r="J143" s="9">
        <f t="shared" si="27"/>
        <v>0</v>
      </c>
    </row>
    <row r="144" outlineLevel="1">
      <c r="A144" s="22" t="s">
        <v>254</v>
      </c>
      <c r="B144" s="16" t="s">
        <v>255</v>
      </c>
      <c r="C144" s="16" t="s">
        <v>253</v>
      </c>
      <c r="D144" s="32">
        <v>280.0</v>
      </c>
      <c r="E144" s="10"/>
      <c r="F144" s="16"/>
      <c r="G144" s="25"/>
      <c r="H144" s="25">
        <f t="shared" si="26"/>
        <v>0</v>
      </c>
      <c r="I144" s="25">
        <v>0.0</v>
      </c>
      <c r="J144" s="9">
        <f t="shared" si="27"/>
        <v>0</v>
      </c>
    </row>
    <row r="145">
      <c r="A145" s="8"/>
      <c r="B145" s="18"/>
      <c r="D145" s="9"/>
      <c r="E145" s="10"/>
      <c r="J145" s="9"/>
    </row>
    <row r="146">
      <c r="A146" s="33"/>
      <c r="B146" s="34" t="s">
        <v>256</v>
      </c>
      <c r="C146" s="35"/>
      <c r="D146" s="36"/>
      <c r="E146" s="37"/>
      <c r="F146" s="35"/>
      <c r="G146" s="35"/>
      <c r="H146" s="35"/>
      <c r="I146" s="35"/>
      <c r="J146" s="36">
        <f>SUM(J14,J20,J42,J49,J62,J66,J75,J80,J95,J107,J119,J86)</f>
        <v>0</v>
      </c>
    </row>
    <row r="147">
      <c r="A147" s="8"/>
      <c r="B147" s="18"/>
      <c r="D147" s="9"/>
      <c r="E147" s="10"/>
      <c r="J147" s="9"/>
    </row>
    <row r="148">
      <c r="A148" s="22"/>
      <c r="B148" s="17" t="s">
        <v>257</v>
      </c>
      <c r="D148" s="9"/>
      <c r="E148" s="10"/>
      <c r="F148" s="10"/>
      <c r="G148" s="10"/>
      <c r="H148" s="10"/>
      <c r="I148" s="10"/>
      <c r="J148" s="10"/>
    </row>
    <row r="149">
      <c r="A149" s="8"/>
      <c r="B149" s="38" t="s">
        <v>258</v>
      </c>
      <c r="D149" s="9"/>
      <c r="E149" s="10"/>
      <c r="F149" s="10"/>
      <c r="G149" s="10"/>
      <c r="H149" s="10"/>
      <c r="I149" s="10"/>
      <c r="J149" s="10"/>
    </row>
    <row r="150">
      <c r="A150" s="8"/>
      <c r="B150" s="18"/>
      <c r="D150" s="9"/>
      <c r="E150" s="10"/>
      <c r="J150" s="23"/>
    </row>
    <row r="151">
      <c r="A151" s="8"/>
      <c r="B151" s="18"/>
      <c r="D151" s="9"/>
      <c r="E151" s="10"/>
      <c r="J151" s="9"/>
    </row>
    <row r="152">
      <c r="A152" s="8"/>
      <c r="B152" s="17" t="s">
        <v>259</v>
      </c>
      <c r="E152" s="10"/>
    </row>
    <row r="153">
      <c r="A153" s="8"/>
      <c r="B153" s="17" t="s">
        <v>260</v>
      </c>
      <c r="E153" s="17"/>
      <c r="F153" s="17"/>
      <c r="G153" s="17"/>
      <c r="H153" s="17"/>
      <c r="I153" s="17"/>
      <c r="J153" s="9"/>
    </row>
    <row r="154">
      <c r="A154" s="8"/>
      <c r="B154" s="18"/>
      <c r="D154" s="9"/>
      <c r="E154" s="10"/>
      <c r="J154" s="9"/>
    </row>
    <row r="155">
      <c r="A155" s="8"/>
      <c r="B155" s="17" t="s">
        <v>261</v>
      </c>
      <c r="E155" s="10"/>
      <c r="J155" s="9"/>
    </row>
    <row r="156">
      <c r="A156" s="8"/>
      <c r="B156" s="39" t="s">
        <v>262</v>
      </c>
    </row>
    <row r="157">
      <c r="A157" s="8"/>
      <c r="B157" s="18"/>
      <c r="C157" s="17"/>
      <c r="D157" s="17"/>
      <c r="E157" s="17"/>
      <c r="F157" s="17"/>
      <c r="G157" s="17"/>
      <c r="H157" s="17"/>
      <c r="I157" s="17"/>
      <c r="J157" s="9"/>
    </row>
    <row r="158">
      <c r="A158" s="8"/>
      <c r="B158" s="18"/>
      <c r="D158" s="9"/>
      <c r="E158" s="10"/>
      <c r="J158" s="9"/>
    </row>
    <row r="159">
      <c r="A159" s="8"/>
      <c r="B159" s="18"/>
      <c r="D159" s="9"/>
      <c r="E159" s="10"/>
      <c r="J159" s="9"/>
    </row>
    <row r="160">
      <c r="A160" s="8"/>
      <c r="B160" s="18"/>
      <c r="D160" s="9"/>
      <c r="E160" s="10"/>
      <c r="J160" s="9"/>
    </row>
    <row r="161">
      <c r="A161" s="8"/>
      <c r="B161" s="18"/>
      <c r="D161" s="9"/>
      <c r="E161" s="10"/>
      <c r="J161" s="9"/>
    </row>
  </sheetData>
  <mergeCells count="11">
    <mergeCell ref="B152:D152"/>
    <mergeCell ref="B153:D153"/>
    <mergeCell ref="B155:D155"/>
    <mergeCell ref="B156:J156"/>
    <mergeCell ref="C3:I3"/>
    <mergeCell ref="C4:I4"/>
    <mergeCell ref="C7:I7"/>
    <mergeCell ref="C8:I8"/>
    <mergeCell ref="C9:I9"/>
    <mergeCell ref="C10:I10"/>
    <mergeCell ref="E152:J152"/>
  </mergeCells>
  <dataValidations>
    <dataValidation type="list" allowBlank="1" sqref="C9">
      <formula1>"Bar - Betrag eingehoben,Kreditkarte - Betrag eingehoben,Rechnung - Betrag ausständig"</formula1>
    </dataValidation>
  </dataValidations>
  <hyperlinks>
    <hyperlink r:id="rId4" ref="B149"/>
    <hyperlink r:id="rId5" ref="B156"/>
  </hyperlinks>
  <printOptions horizontalCentered="1"/>
  <pageMargins bottom="0.75" footer="0.0" header="0.0" left="0.7" right="0.7" top="0.75"/>
  <pageSetup fitToHeight="0" paperSize="9" orientation="portrait" pageOrder="overThenDown"/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6.0"/>
    <col customWidth="1" min="2" max="2" width="34.63"/>
    <col customWidth="1" min="4" max="4" width="10.13"/>
    <col customWidth="1" min="5" max="5" width="10.25"/>
    <col customWidth="1" min="6" max="6" width="8.63"/>
    <col customWidth="1" min="7" max="7" width="6.88"/>
    <col customWidth="1" min="8" max="8" width="6.25"/>
    <col customWidth="1" min="9" max="9" width="8.63"/>
  </cols>
  <sheetData>
    <row r="1">
      <c r="A1" s="1"/>
      <c r="B1" s="2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7" t="s">
        <v>8</v>
      </c>
    </row>
    <row r="2">
      <c r="A2" s="8"/>
      <c r="B2" s="2"/>
      <c r="D2" s="9"/>
      <c r="E2" s="10"/>
      <c r="J2" s="9"/>
    </row>
    <row r="3">
      <c r="A3" s="8"/>
      <c r="B3" s="2" t="s">
        <v>9</v>
      </c>
      <c r="C3" s="11"/>
      <c r="J3" s="9"/>
    </row>
    <row r="4">
      <c r="A4" s="8"/>
      <c r="B4" s="2" t="s">
        <v>10</v>
      </c>
      <c r="C4" s="12"/>
      <c r="J4" s="9"/>
    </row>
    <row r="5">
      <c r="A5" s="8"/>
      <c r="B5" s="2" t="s">
        <v>11</v>
      </c>
      <c r="C5" s="11"/>
      <c r="J5" s="9"/>
    </row>
    <row r="6">
      <c r="A6" s="8"/>
      <c r="B6" s="2" t="s">
        <v>12</v>
      </c>
      <c r="C6" s="13"/>
      <c r="D6" s="14"/>
      <c r="E6" s="14"/>
      <c r="F6" s="14"/>
      <c r="G6" s="14"/>
      <c r="H6" s="14"/>
      <c r="I6" s="14"/>
      <c r="J6" s="9"/>
    </row>
    <row r="7">
      <c r="A7" s="8"/>
      <c r="B7" s="2" t="s">
        <v>13</v>
      </c>
      <c r="C7" s="14"/>
      <c r="J7" s="15"/>
    </row>
    <row r="8">
      <c r="A8" s="8"/>
      <c r="B8" s="2" t="s">
        <v>14</v>
      </c>
      <c r="C8" s="11"/>
      <c r="J8" s="9"/>
    </row>
    <row r="9">
      <c r="A9" s="8"/>
      <c r="B9" s="2" t="s">
        <v>15</v>
      </c>
      <c r="J9" s="9"/>
    </row>
    <row r="10">
      <c r="A10" s="8"/>
      <c r="B10" s="2" t="s">
        <v>16</v>
      </c>
      <c r="C10" s="17"/>
      <c r="J10" s="9"/>
    </row>
    <row r="11">
      <c r="A11" s="8"/>
      <c r="B11" s="2"/>
      <c r="D11" s="9"/>
      <c r="E11" s="10"/>
      <c r="J11" s="9"/>
    </row>
    <row r="12">
      <c r="A12" s="8"/>
      <c r="B12" s="2" t="s">
        <v>17</v>
      </c>
      <c r="D12" s="9"/>
      <c r="E12" s="10"/>
      <c r="J12" s="9"/>
    </row>
    <row r="13">
      <c r="A13" s="8"/>
      <c r="B13" s="18"/>
      <c r="D13" s="9"/>
      <c r="E13" s="10"/>
      <c r="J13" s="9"/>
    </row>
    <row r="14">
      <c r="A14" s="1" t="s">
        <v>18</v>
      </c>
      <c r="B14" s="2" t="s">
        <v>19</v>
      </c>
      <c r="C14" s="3"/>
      <c r="D14" s="19"/>
      <c r="E14" s="20"/>
      <c r="F14" s="3"/>
      <c r="G14" s="3"/>
      <c r="H14" s="3"/>
      <c r="I14" s="21"/>
      <c r="J14" s="19">
        <f>SUM(J15:J18)</f>
        <v>259.2</v>
      </c>
    </row>
    <row r="15" outlineLevel="1">
      <c r="A15" s="22" t="s">
        <v>20</v>
      </c>
      <c r="B15" s="17" t="s">
        <v>21</v>
      </c>
      <c r="C15" s="16" t="s">
        <v>22</v>
      </c>
      <c r="D15" s="23">
        <v>32.4</v>
      </c>
      <c r="E15" s="24"/>
      <c r="F15" s="16">
        <v>8.0</v>
      </c>
      <c r="G15" s="16"/>
      <c r="H15" s="16">
        <f t="shared" ref="H15:H18" si="1">F15*IF(G15&lt;&gt;"",G15,1)</f>
        <v>8</v>
      </c>
      <c r="I15" s="25">
        <v>0.0</v>
      </c>
      <c r="J15" s="9">
        <f t="shared" ref="J15:J18" si="2">D15*H15+E15*I15</f>
        <v>259.2</v>
      </c>
    </row>
    <row r="16" outlineLevel="1">
      <c r="A16" s="22" t="s">
        <v>23</v>
      </c>
      <c r="B16" s="17" t="s">
        <v>24</v>
      </c>
      <c r="C16" s="16" t="s">
        <v>22</v>
      </c>
      <c r="D16" s="23">
        <v>32.4</v>
      </c>
      <c r="E16" s="24"/>
      <c r="G16" t="str">
        <f t="shared" ref="G16:G18" si="3">$G$15</f>
        <v/>
      </c>
      <c r="H16" s="16">
        <f t="shared" si="1"/>
        <v>0</v>
      </c>
      <c r="I16" s="25">
        <v>0.0</v>
      </c>
      <c r="J16" s="9">
        <f t="shared" si="2"/>
        <v>0</v>
      </c>
    </row>
    <row r="17" outlineLevel="1">
      <c r="A17" s="22" t="s">
        <v>25</v>
      </c>
      <c r="B17" s="17" t="s">
        <v>26</v>
      </c>
      <c r="C17" s="16" t="s">
        <v>22</v>
      </c>
      <c r="D17" s="23">
        <v>105.8</v>
      </c>
      <c r="E17" s="24"/>
      <c r="F17" s="16"/>
      <c r="G17" t="str">
        <f t="shared" si="3"/>
        <v/>
      </c>
      <c r="H17" s="16">
        <f t="shared" si="1"/>
        <v>0</v>
      </c>
      <c r="I17" s="25">
        <v>0.0</v>
      </c>
      <c r="J17" s="9">
        <f t="shared" si="2"/>
        <v>0</v>
      </c>
    </row>
    <row r="18" outlineLevel="1">
      <c r="A18" s="22" t="s">
        <v>27</v>
      </c>
      <c r="B18" s="17" t="s">
        <v>28</v>
      </c>
      <c r="C18" s="16" t="s">
        <v>29</v>
      </c>
      <c r="D18" s="23">
        <v>0.42</v>
      </c>
      <c r="E18" s="24"/>
      <c r="G18" t="str">
        <f t="shared" si="3"/>
        <v/>
      </c>
      <c r="H18" s="16">
        <f t="shared" si="1"/>
        <v>0</v>
      </c>
      <c r="I18" s="25">
        <v>0.0</v>
      </c>
      <c r="J18" s="9">
        <f t="shared" si="2"/>
        <v>0</v>
      </c>
    </row>
    <row r="19">
      <c r="A19" s="8"/>
      <c r="B19" s="18"/>
      <c r="D19" s="9"/>
      <c r="E19" s="10"/>
      <c r="J19" s="9"/>
    </row>
    <row r="20">
      <c r="A20" s="1" t="s">
        <v>30</v>
      </c>
      <c r="B20" s="2" t="s">
        <v>31</v>
      </c>
      <c r="C20" s="21"/>
      <c r="D20" s="19"/>
      <c r="E20" s="20"/>
      <c r="F20" s="21"/>
      <c r="H20" s="21"/>
      <c r="I20" s="21"/>
      <c r="J20" s="19">
        <f>SUM(J21:J40)</f>
        <v>318.5</v>
      </c>
    </row>
    <row r="21" outlineLevel="1">
      <c r="A21" s="22" t="s">
        <v>32</v>
      </c>
      <c r="B21" s="26" t="s">
        <v>33</v>
      </c>
      <c r="C21" s="16" t="s">
        <v>34</v>
      </c>
      <c r="D21" s="23">
        <v>63.7</v>
      </c>
      <c r="E21" s="24">
        <v>318.5</v>
      </c>
      <c r="G21" t="str">
        <f t="shared" ref="G21:G40" si="4">$G$15</f>
        <v/>
      </c>
      <c r="H21" s="25">
        <f t="shared" ref="H21:H40" si="5">F21*if(G21&lt;&gt;"",G21,1)</f>
        <v>0</v>
      </c>
      <c r="I21" s="25">
        <v>0.0</v>
      </c>
      <c r="J21" s="9">
        <f t="shared" ref="J21:J40" si="6">D21*H21+E21*I21</f>
        <v>0</v>
      </c>
    </row>
    <row r="22" outlineLevel="1">
      <c r="A22" s="22" t="s">
        <v>35</v>
      </c>
      <c r="B22" s="17" t="s">
        <v>36</v>
      </c>
      <c r="C22" s="16" t="s">
        <v>34</v>
      </c>
      <c r="D22" s="23">
        <v>90.7</v>
      </c>
      <c r="E22" s="24">
        <v>453.5</v>
      </c>
      <c r="F22" s="16"/>
      <c r="G22" t="str">
        <f t="shared" si="4"/>
        <v/>
      </c>
      <c r="H22" s="25">
        <f t="shared" si="5"/>
        <v>0</v>
      </c>
      <c r="I22" s="25">
        <v>0.0</v>
      </c>
      <c r="J22" s="9">
        <f t="shared" si="6"/>
        <v>0</v>
      </c>
    </row>
    <row r="23" outlineLevel="1">
      <c r="A23" s="22" t="s">
        <v>37</v>
      </c>
      <c r="B23" s="26" t="s">
        <v>38</v>
      </c>
      <c r="C23" s="16" t="s">
        <v>34</v>
      </c>
      <c r="D23" s="23">
        <v>106.9</v>
      </c>
      <c r="E23" s="24">
        <v>534.5</v>
      </c>
      <c r="G23" t="str">
        <f t="shared" si="4"/>
        <v/>
      </c>
      <c r="H23" s="25">
        <f t="shared" si="5"/>
        <v>0</v>
      </c>
      <c r="I23" s="25">
        <v>0.0</v>
      </c>
      <c r="J23" s="9">
        <f t="shared" si="6"/>
        <v>0</v>
      </c>
    </row>
    <row r="24" outlineLevel="1">
      <c r="A24" s="22" t="s">
        <v>39</v>
      </c>
      <c r="B24" s="26" t="s">
        <v>40</v>
      </c>
      <c r="C24" s="16" t="s">
        <v>34</v>
      </c>
      <c r="D24" s="23">
        <v>122.0</v>
      </c>
      <c r="E24" s="24">
        <v>610.0</v>
      </c>
      <c r="G24" t="str">
        <f t="shared" si="4"/>
        <v/>
      </c>
      <c r="H24" s="25">
        <f t="shared" si="5"/>
        <v>0</v>
      </c>
      <c r="I24" s="25">
        <v>0.0</v>
      </c>
      <c r="J24" s="9">
        <f t="shared" si="6"/>
        <v>0</v>
      </c>
    </row>
    <row r="25" outlineLevel="1">
      <c r="A25" s="22" t="s">
        <v>41</v>
      </c>
      <c r="B25" s="17" t="s">
        <v>42</v>
      </c>
      <c r="C25" s="16" t="s">
        <v>34</v>
      </c>
      <c r="D25" s="23">
        <v>137.1</v>
      </c>
      <c r="E25" s="24">
        <v>685.5</v>
      </c>
      <c r="F25" s="16">
        <v>1.0</v>
      </c>
      <c r="G25" s="16" t="str">
        <f t="shared" si="4"/>
        <v/>
      </c>
      <c r="H25" s="25">
        <f t="shared" si="5"/>
        <v>1</v>
      </c>
      <c r="I25" s="25">
        <v>0.0</v>
      </c>
      <c r="J25" s="9">
        <f t="shared" si="6"/>
        <v>137.1</v>
      </c>
    </row>
    <row r="26" outlineLevel="1">
      <c r="A26" s="22" t="s">
        <v>43</v>
      </c>
      <c r="B26" s="17" t="s">
        <v>44</v>
      </c>
      <c r="C26" s="16" t="s">
        <v>34</v>
      </c>
      <c r="D26" s="23">
        <v>239.7</v>
      </c>
      <c r="E26" s="24">
        <v>1198.5</v>
      </c>
      <c r="G26" t="str">
        <f t="shared" si="4"/>
        <v/>
      </c>
      <c r="H26" s="25">
        <f t="shared" si="5"/>
        <v>0</v>
      </c>
      <c r="I26" s="25">
        <v>0.0</v>
      </c>
      <c r="J26" s="9">
        <f t="shared" si="6"/>
        <v>0</v>
      </c>
    </row>
    <row r="27" outlineLevel="1">
      <c r="A27" s="22" t="s">
        <v>45</v>
      </c>
      <c r="B27" s="26" t="s">
        <v>46</v>
      </c>
      <c r="C27" s="16" t="s">
        <v>34</v>
      </c>
      <c r="D27" s="23">
        <v>123.1</v>
      </c>
      <c r="E27" s="24">
        <v>615.5</v>
      </c>
      <c r="F27" s="16"/>
      <c r="G27" t="str">
        <f t="shared" si="4"/>
        <v/>
      </c>
      <c r="H27" s="25">
        <f t="shared" si="5"/>
        <v>0</v>
      </c>
      <c r="I27" s="25">
        <v>0.0</v>
      </c>
      <c r="J27" s="9">
        <f t="shared" si="6"/>
        <v>0</v>
      </c>
    </row>
    <row r="28" outlineLevel="1">
      <c r="A28" s="22" t="s">
        <v>47</v>
      </c>
      <c r="B28" s="17" t="s">
        <v>48</v>
      </c>
      <c r="C28" s="16" t="s">
        <v>34</v>
      </c>
      <c r="D28" s="23">
        <v>197.6</v>
      </c>
      <c r="E28" s="24">
        <v>988.0</v>
      </c>
      <c r="F28" s="16"/>
      <c r="G28" t="str">
        <f t="shared" si="4"/>
        <v/>
      </c>
      <c r="H28" s="25">
        <f t="shared" si="5"/>
        <v>0</v>
      </c>
      <c r="I28" s="25">
        <v>0.0</v>
      </c>
      <c r="J28" s="9">
        <f t="shared" si="6"/>
        <v>0</v>
      </c>
    </row>
    <row r="29" outlineLevel="1">
      <c r="A29" s="22" t="s">
        <v>49</v>
      </c>
      <c r="B29" s="26" t="s">
        <v>50</v>
      </c>
      <c r="C29" s="16" t="s">
        <v>34</v>
      </c>
      <c r="D29" s="23">
        <v>149.0</v>
      </c>
      <c r="E29" s="24">
        <v>745.0</v>
      </c>
      <c r="F29" s="16"/>
      <c r="G29" t="str">
        <f t="shared" si="4"/>
        <v/>
      </c>
      <c r="H29" s="25">
        <f t="shared" si="5"/>
        <v>0</v>
      </c>
      <c r="I29" s="25">
        <v>0.0</v>
      </c>
      <c r="J29" s="9">
        <f t="shared" si="6"/>
        <v>0</v>
      </c>
    </row>
    <row r="30" outlineLevel="1">
      <c r="A30" s="22" t="s">
        <v>51</v>
      </c>
      <c r="B30" s="17" t="s">
        <v>52</v>
      </c>
      <c r="C30" s="16" t="s">
        <v>34</v>
      </c>
      <c r="D30" s="23">
        <v>181.4</v>
      </c>
      <c r="E30" s="24">
        <v>907.0</v>
      </c>
      <c r="F30" s="16">
        <v>1.0</v>
      </c>
      <c r="G30" t="str">
        <f t="shared" si="4"/>
        <v/>
      </c>
      <c r="H30" s="25">
        <f t="shared" si="5"/>
        <v>1</v>
      </c>
      <c r="I30" s="25">
        <v>0.0</v>
      </c>
      <c r="J30" s="9">
        <f t="shared" si="6"/>
        <v>181.4</v>
      </c>
    </row>
    <row r="31" outlineLevel="1">
      <c r="A31" s="22" t="s">
        <v>53</v>
      </c>
      <c r="B31" s="17" t="s">
        <v>54</v>
      </c>
      <c r="C31" s="16" t="s">
        <v>34</v>
      </c>
      <c r="D31" s="23">
        <v>302.4</v>
      </c>
      <c r="E31" s="24">
        <v>1512.0</v>
      </c>
      <c r="G31" t="str">
        <f t="shared" si="4"/>
        <v/>
      </c>
      <c r="H31" s="25">
        <f t="shared" si="5"/>
        <v>0</v>
      </c>
      <c r="I31" s="25">
        <v>0.0</v>
      </c>
      <c r="J31" s="9">
        <f t="shared" si="6"/>
        <v>0</v>
      </c>
    </row>
    <row r="32" outlineLevel="1">
      <c r="A32" s="22" t="s">
        <v>55</v>
      </c>
      <c r="B32" s="17" t="s">
        <v>56</v>
      </c>
      <c r="C32" s="16" t="s">
        <v>34</v>
      </c>
      <c r="D32" s="23">
        <v>106.9</v>
      </c>
      <c r="E32" s="24">
        <v>534.5</v>
      </c>
      <c r="G32" t="str">
        <f t="shared" si="4"/>
        <v/>
      </c>
      <c r="H32" s="25">
        <f t="shared" si="5"/>
        <v>0</v>
      </c>
      <c r="I32" s="25">
        <v>0.0</v>
      </c>
      <c r="J32" s="9">
        <f t="shared" si="6"/>
        <v>0</v>
      </c>
    </row>
    <row r="33" outlineLevel="1">
      <c r="A33" s="22" t="s">
        <v>57</v>
      </c>
      <c r="B33" s="17" t="s">
        <v>58</v>
      </c>
      <c r="C33" s="16" t="s">
        <v>34</v>
      </c>
      <c r="D33" s="23">
        <v>17.2</v>
      </c>
      <c r="E33" s="24">
        <v>86.0</v>
      </c>
      <c r="F33" s="16"/>
      <c r="G33" t="str">
        <f t="shared" si="4"/>
        <v/>
      </c>
      <c r="H33" s="25">
        <f t="shared" si="5"/>
        <v>0</v>
      </c>
      <c r="I33" s="25">
        <v>0.0</v>
      </c>
      <c r="J33" s="9">
        <f t="shared" si="6"/>
        <v>0</v>
      </c>
    </row>
    <row r="34" outlineLevel="1">
      <c r="A34" s="22" t="s">
        <v>59</v>
      </c>
      <c r="B34" s="17" t="s">
        <v>60</v>
      </c>
      <c r="C34" s="16" t="s">
        <v>34</v>
      </c>
      <c r="D34" s="23">
        <v>51.8</v>
      </c>
      <c r="E34" s="24">
        <v>259.0</v>
      </c>
      <c r="F34" s="16"/>
      <c r="G34" t="str">
        <f t="shared" si="4"/>
        <v/>
      </c>
      <c r="H34" s="25">
        <f t="shared" si="5"/>
        <v>0</v>
      </c>
      <c r="I34" s="25">
        <v>0.0</v>
      </c>
      <c r="J34" s="9">
        <f t="shared" si="6"/>
        <v>0</v>
      </c>
    </row>
    <row r="35" outlineLevel="1">
      <c r="A35" s="22" t="s">
        <v>61</v>
      </c>
      <c r="B35" s="17" t="s">
        <v>62</v>
      </c>
      <c r="C35" s="16" t="s">
        <v>34</v>
      </c>
      <c r="D35" s="23">
        <v>75.6</v>
      </c>
      <c r="E35" s="24">
        <v>378.0</v>
      </c>
      <c r="F35" s="16"/>
      <c r="G35" t="str">
        <f t="shared" si="4"/>
        <v/>
      </c>
      <c r="H35" s="25">
        <f t="shared" si="5"/>
        <v>0</v>
      </c>
      <c r="I35" s="25">
        <v>0.0</v>
      </c>
      <c r="J35" s="9">
        <f t="shared" si="6"/>
        <v>0</v>
      </c>
    </row>
    <row r="36" outlineLevel="1">
      <c r="A36" s="22" t="s">
        <v>63</v>
      </c>
      <c r="B36" s="17" t="s">
        <v>64</v>
      </c>
      <c r="C36" s="16" t="s">
        <v>34</v>
      </c>
      <c r="D36" s="23">
        <v>130.6</v>
      </c>
      <c r="E36" s="24">
        <v>653.0</v>
      </c>
      <c r="G36" t="str">
        <f t="shared" si="4"/>
        <v/>
      </c>
      <c r="H36" s="25">
        <f t="shared" si="5"/>
        <v>0</v>
      </c>
      <c r="I36" s="25">
        <v>0.0</v>
      </c>
      <c r="J36" s="9">
        <f t="shared" si="6"/>
        <v>0</v>
      </c>
    </row>
    <row r="37" outlineLevel="1">
      <c r="A37" s="22" t="s">
        <v>65</v>
      </c>
      <c r="B37" s="17" t="s">
        <v>66</v>
      </c>
      <c r="C37" s="16" t="s">
        <v>34</v>
      </c>
      <c r="D37" s="23">
        <v>58.3</v>
      </c>
      <c r="E37" s="24">
        <v>291.5</v>
      </c>
      <c r="G37" t="str">
        <f t="shared" si="4"/>
        <v/>
      </c>
      <c r="H37" s="25">
        <f t="shared" si="5"/>
        <v>0</v>
      </c>
      <c r="I37" s="25">
        <v>0.0</v>
      </c>
      <c r="J37" s="9">
        <f t="shared" si="6"/>
        <v>0</v>
      </c>
    </row>
    <row r="38" outlineLevel="1">
      <c r="A38" s="22" t="s">
        <v>67</v>
      </c>
      <c r="B38" s="17" t="s">
        <v>68</v>
      </c>
      <c r="C38" s="16" t="s">
        <v>34</v>
      </c>
      <c r="D38" s="23">
        <v>29.1</v>
      </c>
      <c r="E38" s="24">
        <v>145.5</v>
      </c>
      <c r="G38" t="str">
        <f t="shared" si="4"/>
        <v/>
      </c>
      <c r="H38" s="25">
        <f t="shared" si="5"/>
        <v>0</v>
      </c>
      <c r="I38" s="25">
        <v>0.0</v>
      </c>
      <c r="J38" s="9">
        <f t="shared" si="6"/>
        <v>0</v>
      </c>
    </row>
    <row r="39" outlineLevel="1">
      <c r="A39" s="22" t="s">
        <v>69</v>
      </c>
      <c r="B39" s="17" t="s">
        <v>70</v>
      </c>
      <c r="C39" s="16" t="s">
        <v>34</v>
      </c>
      <c r="D39" s="23">
        <v>15.1</v>
      </c>
      <c r="E39" s="24">
        <v>75.5</v>
      </c>
      <c r="F39" s="16"/>
      <c r="G39" t="str">
        <f t="shared" si="4"/>
        <v/>
      </c>
      <c r="H39" s="25">
        <f t="shared" si="5"/>
        <v>0</v>
      </c>
      <c r="I39" s="25">
        <v>0.0</v>
      </c>
      <c r="J39" s="9">
        <f t="shared" si="6"/>
        <v>0</v>
      </c>
    </row>
    <row r="40" outlineLevel="1">
      <c r="A40" s="22" t="s">
        <v>71</v>
      </c>
      <c r="B40" s="17" t="s">
        <v>72</v>
      </c>
      <c r="C40" s="16" t="s">
        <v>34</v>
      </c>
      <c r="D40" s="23">
        <v>90.7</v>
      </c>
      <c r="E40" s="24">
        <v>453.5</v>
      </c>
      <c r="G40" t="str">
        <f t="shared" si="4"/>
        <v/>
      </c>
      <c r="H40" s="25">
        <f t="shared" si="5"/>
        <v>0</v>
      </c>
      <c r="I40" s="25">
        <v>0.0</v>
      </c>
      <c r="J40" s="9">
        <f t="shared" si="6"/>
        <v>0</v>
      </c>
    </row>
    <row r="41">
      <c r="A41" s="22"/>
      <c r="B41" s="18"/>
      <c r="D41" s="9"/>
      <c r="E41" s="10"/>
      <c r="J41" s="9"/>
    </row>
    <row r="42" collapsed="1">
      <c r="A42" s="1" t="s">
        <v>73</v>
      </c>
      <c r="B42" s="2" t="s">
        <v>74</v>
      </c>
      <c r="C42" s="21"/>
      <c r="D42" s="19"/>
      <c r="E42" s="20"/>
      <c r="F42" s="21"/>
      <c r="G42" s="21"/>
      <c r="J42" s="19">
        <f>SUM(J43:J47)</f>
        <v>0</v>
      </c>
    </row>
    <row r="43" hidden="1" outlineLevel="1">
      <c r="A43" s="22" t="s">
        <v>75</v>
      </c>
      <c r="B43" s="17" t="s">
        <v>76</v>
      </c>
      <c r="C43" s="16" t="s">
        <v>34</v>
      </c>
      <c r="D43" s="23">
        <v>16.2</v>
      </c>
      <c r="E43" s="24">
        <v>81.0</v>
      </c>
      <c r="G43" s="25"/>
      <c r="H43" s="25">
        <f t="shared" ref="H43:H47" si="7">F43*G43</f>
        <v>0</v>
      </c>
      <c r="I43" s="25">
        <v>0.0</v>
      </c>
      <c r="J43" s="9">
        <f t="shared" ref="J43:J47" si="8">D43*H43+E43*I43</f>
        <v>0</v>
      </c>
    </row>
    <row r="44" hidden="1" outlineLevel="1">
      <c r="A44" s="22" t="s">
        <v>77</v>
      </c>
      <c r="B44" s="17" t="s">
        <v>78</v>
      </c>
      <c r="C44" s="16" t="s">
        <v>34</v>
      </c>
      <c r="D44" s="23">
        <v>21.6</v>
      </c>
      <c r="E44" s="24">
        <v>108.0</v>
      </c>
      <c r="G44" s="25"/>
      <c r="H44" s="25">
        <f t="shared" si="7"/>
        <v>0</v>
      </c>
      <c r="I44" s="25">
        <v>0.0</v>
      </c>
      <c r="J44" s="9">
        <f t="shared" si="8"/>
        <v>0</v>
      </c>
    </row>
    <row r="45" hidden="1" outlineLevel="1">
      <c r="A45" s="22" t="s">
        <v>79</v>
      </c>
      <c r="B45" s="17" t="s">
        <v>80</v>
      </c>
      <c r="C45" s="16" t="s">
        <v>34</v>
      </c>
      <c r="D45" s="23"/>
      <c r="E45" s="24">
        <v>11.8</v>
      </c>
      <c r="G45" s="25"/>
      <c r="H45" s="25">
        <f t="shared" si="7"/>
        <v>0</v>
      </c>
      <c r="I45" s="25">
        <v>0.0</v>
      </c>
      <c r="J45" s="9">
        <f t="shared" si="8"/>
        <v>0</v>
      </c>
    </row>
    <row r="46" hidden="1" outlineLevel="1">
      <c r="A46" s="22" t="s">
        <v>81</v>
      </c>
      <c r="B46" s="17" t="s">
        <v>82</v>
      </c>
      <c r="C46" s="16" t="s">
        <v>34</v>
      </c>
      <c r="D46" s="23">
        <v>33.4</v>
      </c>
      <c r="E46" s="24">
        <v>167.0</v>
      </c>
      <c r="G46" s="25"/>
      <c r="H46" s="25">
        <f t="shared" si="7"/>
        <v>0</v>
      </c>
      <c r="I46" s="25">
        <v>0.0</v>
      </c>
      <c r="J46" s="9">
        <f t="shared" si="8"/>
        <v>0</v>
      </c>
    </row>
    <row r="47" hidden="1" outlineLevel="1">
      <c r="A47" s="22" t="s">
        <v>83</v>
      </c>
      <c r="B47" s="17" t="s">
        <v>84</v>
      </c>
      <c r="C47" s="16" t="s">
        <v>34</v>
      </c>
      <c r="D47" s="23">
        <v>10.8</v>
      </c>
      <c r="E47" s="24">
        <v>54.0</v>
      </c>
      <c r="G47" s="25"/>
      <c r="H47" s="25">
        <f t="shared" si="7"/>
        <v>0</v>
      </c>
      <c r="I47" s="25">
        <v>0.0</v>
      </c>
      <c r="J47" s="9">
        <f t="shared" si="8"/>
        <v>0</v>
      </c>
    </row>
    <row r="48">
      <c r="A48" s="8"/>
      <c r="B48" s="18"/>
      <c r="D48" s="9"/>
      <c r="E48" s="10"/>
      <c r="J48" s="9"/>
    </row>
    <row r="49" collapsed="1">
      <c r="A49" s="1" t="s">
        <v>85</v>
      </c>
      <c r="B49" s="2" t="s">
        <v>86</v>
      </c>
      <c r="D49" s="19"/>
      <c r="E49" s="20"/>
      <c r="F49" s="21"/>
      <c r="G49" s="21"/>
      <c r="J49" s="19">
        <f>SUM(J50:J60)</f>
        <v>0</v>
      </c>
    </row>
    <row r="50" hidden="1" outlineLevel="1">
      <c r="A50" s="22" t="s">
        <v>87</v>
      </c>
      <c r="B50" s="16" t="s">
        <v>88</v>
      </c>
      <c r="C50" s="16" t="s">
        <v>34</v>
      </c>
      <c r="D50" s="23">
        <v>21.6</v>
      </c>
      <c r="E50" s="24">
        <v>108.0</v>
      </c>
      <c r="G50" s="25"/>
      <c r="H50" s="25">
        <f t="shared" ref="H50:H60" si="9">F50*G50</f>
        <v>0</v>
      </c>
      <c r="I50" s="25">
        <v>0.0</v>
      </c>
      <c r="J50" s="9">
        <f t="shared" ref="J50:J60" si="10">D50*H50+E50*I50</f>
        <v>0</v>
      </c>
    </row>
    <row r="51" hidden="1" outlineLevel="1">
      <c r="A51" s="22" t="s">
        <v>89</v>
      </c>
      <c r="B51" s="17" t="s">
        <v>90</v>
      </c>
      <c r="C51" s="16" t="s">
        <v>34</v>
      </c>
      <c r="D51" s="23">
        <v>29.1</v>
      </c>
      <c r="E51" s="24">
        <v>145.5</v>
      </c>
      <c r="G51" s="25"/>
      <c r="H51" s="25">
        <f t="shared" si="9"/>
        <v>0</v>
      </c>
      <c r="I51" s="25">
        <v>0.0</v>
      </c>
      <c r="J51" s="9">
        <f t="shared" si="10"/>
        <v>0</v>
      </c>
    </row>
    <row r="52" hidden="1" outlineLevel="1">
      <c r="A52" s="22" t="s">
        <v>91</v>
      </c>
      <c r="B52" s="17" t="s">
        <v>92</v>
      </c>
      <c r="C52" s="16" t="s">
        <v>34</v>
      </c>
      <c r="D52" s="23">
        <v>38.8</v>
      </c>
      <c r="E52" s="24">
        <v>194.0</v>
      </c>
      <c r="G52" s="25"/>
      <c r="H52" s="25">
        <f t="shared" si="9"/>
        <v>0</v>
      </c>
      <c r="I52" s="25">
        <v>0.0</v>
      </c>
      <c r="J52" s="9">
        <f t="shared" si="10"/>
        <v>0</v>
      </c>
    </row>
    <row r="53" hidden="1" outlineLevel="1">
      <c r="A53" s="22" t="s">
        <v>93</v>
      </c>
      <c r="B53" s="17" t="s">
        <v>94</v>
      </c>
      <c r="C53" s="16" t="s">
        <v>34</v>
      </c>
      <c r="D53" s="23">
        <v>51.8</v>
      </c>
      <c r="E53" s="24">
        <v>259.0</v>
      </c>
      <c r="G53" s="25"/>
      <c r="H53" s="25">
        <f t="shared" si="9"/>
        <v>0</v>
      </c>
      <c r="I53" s="25">
        <v>0.0</v>
      </c>
      <c r="J53" s="9">
        <f t="shared" si="10"/>
        <v>0</v>
      </c>
    </row>
    <row r="54" hidden="1" outlineLevel="1">
      <c r="A54" s="22" t="s">
        <v>95</v>
      </c>
      <c r="B54" s="17" t="s">
        <v>96</v>
      </c>
      <c r="C54" s="16" t="s">
        <v>34</v>
      </c>
      <c r="D54" s="23">
        <v>63.7</v>
      </c>
      <c r="E54" s="24">
        <v>318.5</v>
      </c>
      <c r="G54" s="25"/>
      <c r="H54" s="25">
        <f t="shared" si="9"/>
        <v>0</v>
      </c>
      <c r="I54" s="25">
        <v>0.0</v>
      </c>
      <c r="J54" s="9">
        <f t="shared" si="10"/>
        <v>0</v>
      </c>
    </row>
    <row r="55" hidden="1" outlineLevel="1">
      <c r="A55" s="22" t="s">
        <v>97</v>
      </c>
      <c r="B55" s="17" t="s">
        <v>98</v>
      </c>
      <c r="C55" s="16" t="s">
        <v>34</v>
      </c>
      <c r="D55" s="23">
        <v>75.6</v>
      </c>
      <c r="E55" s="24">
        <v>378.0</v>
      </c>
      <c r="G55" s="25"/>
      <c r="H55" s="25">
        <f t="shared" si="9"/>
        <v>0</v>
      </c>
      <c r="I55" s="25">
        <v>0.0</v>
      </c>
      <c r="J55" s="9">
        <f t="shared" si="10"/>
        <v>0</v>
      </c>
    </row>
    <row r="56" hidden="1" outlineLevel="1">
      <c r="A56" s="22" t="s">
        <v>99</v>
      </c>
      <c r="B56" s="17" t="s">
        <v>100</v>
      </c>
      <c r="C56" s="16" t="s">
        <v>34</v>
      </c>
      <c r="D56" s="23">
        <v>87.4</v>
      </c>
      <c r="E56" s="24">
        <v>437.0</v>
      </c>
      <c r="G56" s="25"/>
      <c r="H56" s="25">
        <f t="shared" si="9"/>
        <v>0</v>
      </c>
      <c r="I56" s="25">
        <v>0.0</v>
      </c>
      <c r="J56" s="9">
        <f t="shared" si="10"/>
        <v>0</v>
      </c>
    </row>
    <row r="57" hidden="1" outlineLevel="1">
      <c r="A57" s="22" t="s">
        <v>101</v>
      </c>
      <c r="B57" s="17" t="s">
        <v>102</v>
      </c>
      <c r="C57" s="16" t="s">
        <v>34</v>
      </c>
      <c r="D57" s="23">
        <v>110.1</v>
      </c>
      <c r="E57" s="24">
        <v>550.5</v>
      </c>
      <c r="G57" s="25"/>
      <c r="H57" s="25">
        <f t="shared" si="9"/>
        <v>0</v>
      </c>
      <c r="I57" s="25">
        <v>0.0</v>
      </c>
      <c r="J57" s="9">
        <f t="shared" si="10"/>
        <v>0</v>
      </c>
    </row>
    <row r="58" hidden="1" outlineLevel="1">
      <c r="A58" s="22" t="s">
        <v>103</v>
      </c>
      <c r="B58" s="17" t="s">
        <v>104</v>
      </c>
      <c r="C58" s="16" t="s">
        <v>34</v>
      </c>
      <c r="D58" s="23">
        <v>27.0</v>
      </c>
      <c r="E58" s="24">
        <v>135.0</v>
      </c>
      <c r="G58" s="25"/>
      <c r="H58" s="25">
        <f t="shared" si="9"/>
        <v>0</v>
      </c>
      <c r="I58" s="25">
        <v>0.0</v>
      </c>
      <c r="J58" s="9">
        <f t="shared" si="10"/>
        <v>0</v>
      </c>
    </row>
    <row r="59" hidden="1" outlineLevel="1">
      <c r="A59" s="22" t="s">
        <v>105</v>
      </c>
      <c r="B59" s="17" t="s">
        <v>106</v>
      </c>
      <c r="C59" s="16" t="s">
        <v>34</v>
      </c>
      <c r="D59" s="23">
        <v>110.1</v>
      </c>
      <c r="E59" s="24">
        <v>550.5</v>
      </c>
      <c r="G59" s="25"/>
      <c r="H59" s="25">
        <f t="shared" si="9"/>
        <v>0</v>
      </c>
      <c r="I59" s="25">
        <v>0.0</v>
      </c>
      <c r="J59" s="9">
        <f t="shared" si="10"/>
        <v>0</v>
      </c>
    </row>
    <row r="60" hidden="1" outlineLevel="1">
      <c r="A60" s="22" t="s">
        <v>107</v>
      </c>
      <c r="B60" s="17" t="s">
        <v>108</v>
      </c>
      <c r="C60" s="16" t="s">
        <v>34</v>
      </c>
      <c r="D60" s="23">
        <v>90.7</v>
      </c>
      <c r="E60" s="24">
        <v>453.5</v>
      </c>
      <c r="G60" s="25"/>
      <c r="H60" s="25">
        <f t="shared" si="9"/>
        <v>0</v>
      </c>
      <c r="I60" s="25">
        <v>0.0</v>
      </c>
      <c r="J60" s="9">
        <f t="shared" si="10"/>
        <v>0</v>
      </c>
    </row>
    <row r="61">
      <c r="A61" s="22"/>
      <c r="B61" s="18"/>
      <c r="D61" s="9"/>
      <c r="E61" s="10"/>
      <c r="J61" s="9"/>
    </row>
    <row r="62" collapsed="1">
      <c r="A62" s="1" t="s">
        <v>109</v>
      </c>
      <c r="B62" s="2" t="s">
        <v>110</v>
      </c>
      <c r="C62" s="3"/>
      <c r="D62" s="19"/>
      <c r="E62" s="20"/>
      <c r="F62" s="21"/>
      <c r="G62" s="21"/>
      <c r="J62" s="19">
        <f>SUM(J63:J64)</f>
        <v>0</v>
      </c>
    </row>
    <row r="63" hidden="1" outlineLevel="1">
      <c r="A63" s="22" t="s">
        <v>111</v>
      </c>
      <c r="B63" s="17" t="s">
        <v>112</v>
      </c>
      <c r="C63" s="16" t="s">
        <v>113</v>
      </c>
      <c r="D63" s="23">
        <v>4.3</v>
      </c>
      <c r="E63" s="10"/>
      <c r="F63" s="16"/>
      <c r="G63" s="25"/>
      <c r="I63" s="25">
        <v>0.0</v>
      </c>
      <c r="J63" s="9">
        <f t="shared" ref="J63:J64" si="11">D63*H63+E63*I63</f>
        <v>0</v>
      </c>
    </row>
    <row r="64" hidden="1" outlineLevel="1">
      <c r="A64" s="22" t="s">
        <v>114</v>
      </c>
      <c r="B64" s="17" t="s">
        <v>115</v>
      </c>
      <c r="C64" s="16" t="s">
        <v>113</v>
      </c>
      <c r="D64" s="23">
        <v>6.4</v>
      </c>
      <c r="E64" s="10"/>
      <c r="F64" s="16"/>
      <c r="G64" s="25"/>
      <c r="I64" s="25">
        <v>0.0</v>
      </c>
      <c r="J64" s="9">
        <f t="shared" si="11"/>
        <v>0</v>
      </c>
    </row>
    <row r="65">
      <c r="A65" s="8"/>
      <c r="B65" s="18"/>
      <c r="D65" s="9"/>
      <c r="E65" s="10"/>
      <c r="J65" s="9"/>
    </row>
    <row r="66" collapsed="1">
      <c r="A66" s="1" t="s">
        <v>116</v>
      </c>
      <c r="B66" s="2" t="s">
        <v>117</v>
      </c>
      <c r="C66" s="21"/>
      <c r="D66" s="19"/>
      <c r="E66" s="20"/>
      <c r="F66" s="21"/>
      <c r="G66" s="21"/>
      <c r="J66" s="19">
        <f>SUM(J67:J73)</f>
        <v>0</v>
      </c>
    </row>
    <row r="67" hidden="1" outlineLevel="1">
      <c r="A67" s="22" t="s">
        <v>118</v>
      </c>
      <c r="B67" s="16" t="s">
        <v>119</v>
      </c>
      <c r="C67" s="16" t="s">
        <v>120</v>
      </c>
      <c r="D67" s="9"/>
      <c r="E67" s="24"/>
      <c r="G67" s="16"/>
      <c r="H67" s="25">
        <f t="shared" ref="H67:H73" si="12">F67*G67</f>
        <v>0</v>
      </c>
      <c r="I67" s="25">
        <v>0.0</v>
      </c>
      <c r="J67" s="9">
        <f t="shared" ref="J67:J73" si="13">D67*H67+E67*I67</f>
        <v>0</v>
      </c>
    </row>
    <row r="68" hidden="1" outlineLevel="1">
      <c r="A68" s="22" t="s">
        <v>121</v>
      </c>
      <c r="B68" s="17" t="s">
        <v>122</v>
      </c>
      <c r="C68" s="16" t="s">
        <v>34</v>
      </c>
      <c r="D68" s="23">
        <v>37.8</v>
      </c>
      <c r="E68" s="24">
        <v>189.0</v>
      </c>
      <c r="G68" s="16"/>
      <c r="H68" s="25">
        <f t="shared" si="12"/>
        <v>0</v>
      </c>
      <c r="I68" s="25">
        <v>0.0</v>
      </c>
      <c r="J68" s="9">
        <f t="shared" si="13"/>
        <v>0</v>
      </c>
    </row>
    <row r="69" hidden="1" outlineLevel="1">
      <c r="A69" s="22" t="s">
        <v>123</v>
      </c>
      <c r="B69" s="17" t="s">
        <v>124</v>
      </c>
      <c r="C69" s="16" t="s">
        <v>34</v>
      </c>
      <c r="D69" s="23">
        <v>49.6</v>
      </c>
      <c r="E69" s="24">
        <v>248.0</v>
      </c>
      <c r="G69" s="16"/>
      <c r="H69" s="25">
        <f t="shared" si="12"/>
        <v>0</v>
      </c>
      <c r="I69" s="25">
        <v>0.0</v>
      </c>
      <c r="J69" s="9">
        <f t="shared" si="13"/>
        <v>0</v>
      </c>
    </row>
    <row r="70" hidden="1" outlineLevel="1">
      <c r="A70" s="22" t="s">
        <v>125</v>
      </c>
      <c r="B70" s="17" t="s">
        <v>126</v>
      </c>
      <c r="C70" s="16" t="s">
        <v>34</v>
      </c>
      <c r="D70" s="9"/>
      <c r="E70" s="24">
        <v>47.5</v>
      </c>
      <c r="G70" s="16"/>
      <c r="H70" s="25">
        <f t="shared" si="12"/>
        <v>0</v>
      </c>
      <c r="I70" s="25">
        <v>0.0</v>
      </c>
      <c r="J70" s="9">
        <f t="shared" si="13"/>
        <v>0</v>
      </c>
    </row>
    <row r="71" hidden="1" outlineLevel="1">
      <c r="A71" s="22" t="s">
        <v>127</v>
      </c>
      <c r="B71" s="17" t="s">
        <v>128</v>
      </c>
      <c r="C71" s="16" t="s">
        <v>34</v>
      </c>
      <c r="D71" s="9"/>
      <c r="E71" s="24">
        <v>65.8</v>
      </c>
      <c r="G71" s="16"/>
      <c r="H71" s="25">
        <f t="shared" si="12"/>
        <v>0</v>
      </c>
      <c r="I71" s="25">
        <v>0.0</v>
      </c>
      <c r="J71" s="9">
        <f t="shared" si="13"/>
        <v>0</v>
      </c>
    </row>
    <row r="72" hidden="1" outlineLevel="1">
      <c r="A72" s="22" t="s">
        <v>129</v>
      </c>
      <c r="B72" s="17" t="s">
        <v>130</v>
      </c>
      <c r="C72" s="16" t="s">
        <v>34</v>
      </c>
      <c r="D72" s="23">
        <v>38.8</v>
      </c>
      <c r="E72" s="24">
        <v>194.0</v>
      </c>
      <c r="G72" s="16"/>
      <c r="H72" s="25">
        <f t="shared" si="12"/>
        <v>0</v>
      </c>
      <c r="I72" s="25">
        <v>0.0</v>
      </c>
      <c r="J72" s="9">
        <f t="shared" si="13"/>
        <v>0</v>
      </c>
    </row>
    <row r="73" hidden="1" outlineLevel="1">
      <c r="A73" s="22" t="s">
        <v>131</v>
      </c>
      <c r="B73" s="17" t="s">
        <v>132</v>
      </c>
      <c r="C73" s="16" t="s">
        <v>34</v>
      </c>
      <c r="D73" s="23">
        <v>58.3</v>
      </c>
      <c r="E73" s="24">
        <v>291.5</v>
      </c>
      <c r="G73" s="16"/>
      <c r="H73" s="25">
        <f t="shared" si="12"/>
        <v>0</v>
      </c>
      <c r="I73" s="25">
        <v>0.0</v>
      </c>
      <c r="J73" s="9">
        <f t="shared" si="13"/>
        <v>0</v>
      </c>
    </row>
    <row r="74">
      <c r="A74" s="22"/>
      <c r="B74" s="18"/>
      <c r="D74" s="9"/>
      <c r="E74" s="10"/>
      <c r="J74" s="9"/>
    </row>
    <row r="75" collapsed="1">
      <c r="A75" s="1" t="s">
        <v>133</v>
      </c>
      <c r="B75" s="2" t="s">
        <v>134</v>
      </c>
      <c r="C75" s="3"/>
      <c r="D75" s="19"/>
      <c r="E75" s="20"/>
      <c r="F75" s="21"/>
      <c r="G75" s="21"/>
      <c r="J75" s="19">
        <f>SUM(J76:J78)</f>
        <v>0</v>
      </c>
    </row>
    <row r="76" hidden="1" outlineLevel="1">
      <c r="A76" s="22" t="s">
        <v>135</v>
      </c>
      <c r="B76" s="17" t="s">
        <v>136</v>
      </c>
      <c r="C76" s="16" t="s">
        <v>34</v>
      </c>
      <c r="D76" s="23">
        <v>19.4</v>
      </c>
      <c r="E76" s="24">
        <v>97.0</v>
      </c>
      <c r="G76" s="25"/>
      <c r="H76" s="25">
        <f t="shared" ref="H76:H78" si="14">F76*G76</f>
        <v>0</v>
      </c>
      <c r="I76" s="25">
        <v>0.0</v>
      </c>
      <c r="J76" s="9">
        <f t="shared" ref="J76:J78" si="15">D76*H76+E76*I76</f>
        <v>0</v>
      </c>
    </row>
    <row r="77" hidden="1" outlineLevel="1">
      <c r="A77" s="22" t="s">
        <v>137</v>
      </c>
      <c r="B77" s="17" t="s">
        <v>138</v>
      </c>
      <c r="C77" s="16" t="s">
        <v>34</v>
      </c>
      <c r="D77" s="23"/>
      <c r="E77" s="24">
        <v>25.9</v>
      </c>
      <c r="G77" s="25"/>
      <c r="H77" s="25">
        <f t="shared" si="14"/>
        <v>0</v>
      </c>
      <c r="I77" s="25">
        <v>0.0</v>
      </c>
      <c r="J77" s="9">
        <f t="shared" si="15"/>
        <v>0</v>
      </c>
    </row>
    <row r="78" hidden="1" outlineLevel="1">
      <c r="A78" s="22" t="s">
        <v>139</v>
      </c>
      <c r="B78" s="17" t="s">
        <v>140</v>
      </c>
      <c r="C78" s="16" t="s">
        <v>34</v>
      </c>
      <c r="D78" s="23"/>
      <c r="E78" s="24">
        <v>29.1</v>
      </c>
      <c r="G78" s="25"/>
      <c r="H78" s="25">
        <f t="shared" si="14"/>
        <v>0</v>
      </c>
      <c r="I78" s="25">
        <v>0.0</v>
      </c>
      <c r="J78" s="9">
        <f t="shared" si="15"/>
        <v>0</v>
      </c>
    </row>
    <row r="79">
      <c r="A79" s="22"/>
      <c r="B79" s="18"/>
      <c r="D79" s="9"/>
      <c r="E79" s="10"/>
      <c r="J79" s="9"/>
    </row>
    <row r="80" collapsed="1">
      <c r="A80" s="1" t="s">
        <v>141</v>
      </c>
      <c r="B80" s="2" t="s">
        <v>142</v>
      </c>
      <c r="C80" s="21"/>
      <c r="D80" s="19"/>
      <c r="E80" s="20"/>
      <c r="F80" s="21"/>
      <c r="G80" s="21"/>
      <c r="J80" s="19">
        <f>SUM(J81:J84)</f>
        <v>0</v>
      </c>
    </row>
    <row r="81" hidden="1" outlineLevel="1">
      <c r="A81" s="22" t="s">
        <v>143</v>
      </c>
      <c r="B81" s="17" t="s">
        <v>144</v>
      </c>
      <c r="C81" s="16" t="s">
        <v>34</v>
      </c>
      <c r="D81" s="23">
        <v>106.9</v>
      </c>
      <c r="E81" s="24">
        <v>534.5</v>
      </c>
      <c r="F81" s="16"/>
      <c r="G81" s="16"/>
      <c r="H81" s="25">
        <f t="shared" ref="H81:H84" si="16">F81*IF(G81&lt;&gt;"",G81,1)</f>
        <v>0</v>
      </c>
      <c r="I81" s="25">
        <v>0.0</v>
      </c>
      <c r="J81" s="9">
        <f t="shared" ref="J81:J84" si="17">D81*H81+E81*I81</f>
        <v>0</v>
      </c>
    </row>
    <row r="82" hidden="1" outlineLevel="1">
      <c r="A82" s="22" t="s">
        <v>145</v>
      </c>
      <c r="B82" s="17" t="s">
        <v>146</v>
      </c>
      <c r="C82" s="16" t="s">
        <v>34</v>
      </c>
      <c r="D82" s="23">
        <v>15.1</v>
      </c>
      <c r="E82" s="24">
        <v>75.5</v>
      </c>
      <c r="G82" s="25"/>
      <c r="H82" s="25">
        <f t="shared" si="16"/>
        <v>0</v>
      </c>
      <c r="I82" s="25">
        <v>0.0</v>
      </c>
      <c r="J82" s="9">
        <f t="shared" si="17"/>
        <v>0</v>
      </c>
    </row>
    <row r="83" hidden="1" outlineLevel="1">
      <c r="A83" s="22" t="s">
        <v>147</v>
      </c>
      <c r="B83" s="17" t="s">
        <v>148</v>
      </c>
      <c r="C83" s="16" t="s">
        <v>34</v>
      </c>
      <c r="D83" s="23">
        <v>38.8</v>
      </c>
      <c r="E83" s="24">
        <v>194.0</v>
      </c>
      <c r="G83" s="25"/>
      <c r="H83" s="25">
        <f t="shared" si="16"/>
        <v>0</v>
      </c>
      <c r="I83" s="25">
        <v>0.0</v>
      </c>
      <c r="J83" s="9">
        <f t="shared" si="17"/>
        <v>0</v>
      </c>
    </row>
    <row r="84" hidden="1" outlineLevel="1">
      <c r="A84" s="22" t="s">
        <v>149</v>
      </c>
      <c r="B84" s="17" t="s">
        <v>150</v>
      </c>
      <c r="C84" s="16" t="s">
        <v>34</v>
      </c>
      <c r="D84" s="23">
        <v>15.1</v>
      </c>
      <c r="E84" s="24">
        <v>75.5</v>
      </c>
      <c r="G84" s="25"/>
      <c r="H84" s="25">
        <f t="shared" si="16"/>
        <v>0</v>
      </c>
      <c r="I84" s="25">
        <v>0.0</v>
      </c>
      <c r="J84" s="9">
        <f t="shared" si="17"/>
        <v>0</v>
      </c>
    </row>
    <row r="85">
      <c r="A85" s="22"/>
      <c r="B85" s="18"/>
      <c r="D85" s="9"/>
      <c r="E85" s="24"/>
      <c r="J85" s="9"/>
    </row>
    <row r="86" collapsed="1">
      <c r="A86" s="1" t="s">
        <v>151</v>
      </c>
      <c r="B86" s="2" t="s">
        <v>152</v>
      </c>
      <c r="C86" s="21"/>
      <c r="D86" s="19"/>
      <c r="E86" s="20"/>
      <c r="F86" s="21"/>
      <c r="G86" s="21"/>
      <c r="J86" s="19">
        <f>SUM(J87:J90)</f>
        <v>0</v>
      </c>
    </row>
    <row r="87" hidden="1" outlineLevel="1">
      <c r="A87" s="22" t="s">
        <v>153</v>
      </c>
      <c r="B87" s="17" t="s">
        <v>154</v>
      </c>
      <c r="C87" s="16" t="s">
        <v>34</v>
      </c>
      <c r="D87" s="23"/>
      <c r="E87" s="24">
        <v>50.7</v>
      </c>
      <c r="F87" s="16"/>
      <c r="H87" s="25">
        <f t="shared" ref="H87:H90" si="18">F87*G87</f>
        <v>0</v>
      </c>
      <c r="I87" s="16">
        <v>0.0</v>
      </c>
      <c r="J87" s="9">
        <f t="shared" ref="J87:J90" si="19">D87*H87+E87*I87</f>
        <v>0</v>
      </c>
    </row>
    <row r="88" hidden="1" outlineLevel="1">
      <c r="A88" s="22" t="s">
        <v>155</v>
      </c>
      <c r="B88" s="17" t="s">
        <v>156</v>
      </c>
      <c r="C88" s="16" t="s">
        <v>34</v>
      </c>
      <c r="D88" s="23"/>
      <c r="E88" s="24">
        <v>75.6</v>
      </c>
      <c r="G88" s="25"/>
      <c r="H88" s="25">
        <f t="shared" si="18"/>
        <v>0</v>
      </c>
      <c r="I88" s="25">
        <v>0.0</v>
      </c>
      <c r="J88" s="9">
        <f t="shared" si="19"/>
        <v>0</v>
      </c>
    </row>
    <row r="89" hidden="1" outlineLevel="1">
      <c r="A89" s="22" t="s">
        <v>157</v>
      </c>
      <c r="B89" s="16" t="s">
        <v>158</v>
      </c>
      <c r="C89" s="16" t="s">
        <v>34</v>
      </c>
      <c r="D89" s="23">
        <v>21.6</v>
      </c>
      <c r="E89" s="24">
        <v>108.0</v>
      </c>
      <c r="G89" s="25"/>
      <c r="H89" s="25">
        <f t="shared" si="18"/>
        <v>0</v>
      </c>
      <c r="I89" s="25">
        <v>0.0</v>
      </c>
      <c r="J89" s="9">
        <f t="shared" si="19"/>
        <v>0</v>
      </c>
    </row>
    <row r="90" hidden="1" outlineLevel="1">
      <c r="A90" s="22" t="s">
        <v>159</v>
      </c>
      <c r="B90" s="17" t="s">
        <v>160</v>
      </c>
      <c r="C90" s="16" t="s">
        <v>34</v>
      </c>
      <c r="D90" s="23"/>
      <c r="E90" s="24">
        <v>144.7</v>
      </c>
      <c r="G90" s="25"/>
      <c r="H90" s="25">
        <f t="shared" si="18"/>
        <v>0</v>
      </c>
      <c r="I90" s="25">
        <v>0.0</v>
      </c>
      <c r="J90" s="9">
        <f t="shared" si="19"/>
        <v>0</v>
      </c>
    </row>
    <row r="91">
      <c r="A91" s="22"/>
      <c r="B91" s="18"/>
      <c r="D91" s="9"/>
      <c r="E91" s="10"/>
      <c r="J91" s="9"/>
    </row>
    <row r="92">
      <c r="A92" s="22"/>
      <c r="B92" s="18"/>
      <c r="D92" s="9"/>
      <c r="E92" s="10"/>
      <c r="J92" s="9"/>
    </row>
    <row r="93">
      <c r="A93" s="22"/>
      <c r="B93" s="2" t="s">
        <v>161</v>
      </c>
      <c r="D93" s="9"/>
      <c r="E93" s="10"/>
      <c r="J93" s="9"/>
    </row>
    <row r="94">
      <c r="A94" s="22"/>
      <c r="B94" s="2"/>
      <c r="D94" s="9"/>
      <c r="E94" s="10"/>
      <c r="J94" s="9"/>
    </row>
    <row r="95">
      <c r="A95" s="1" t="s">
        <v>162</v>
      </c>
      <c r="B95" s="2" t="s">
        <v>163</v>
      </c>
      <c r="C95" s="21"/>
      <c r="D95" s="19"/>
      <c r="E95" s="20"/>
      <c r="F95" s="21"/>
      <c r="G95" s="21"/>
      <c r="J95" s="19">
        <f>SUM(J96:J102)</f>
        <v>0</v>
      </c>
    </row>
    <row r="96" outlineLevel="1">
      <c r="A96" s="22" t="s">
        <v>164</v>
      </c>
      <c r="B96" s="17" t="s">
        <v>165</v>
      </c>
      <c r="C96" s="16" t="str">
        <f>"nach Aufwand, mind. "&amp;E96&amp; " €"</f>
        <v>nach Aufwand, mind. 55 €</v>
      </c>
      <c r="D96" s="9"/>
      <c r="E96" s="24">
        <v>55.0</v>
      </c>
      <c r="G96" s="25"/>
      <c r="H96" s="25">
        <f t="shared" ref="H96:H102" si="20">F96*G96</f>
        <v>0</v>
      </c>
      <c r="I96" s="25">
        <v>0.0</v>
      </c>
      <c r="J96" s="9">
        <f t="shared" ref="J96:J102" si="21">D96*H96+E96*I96</f>
        <v>0</v>
      </c>
    </row>
    <row r="97" outlineLevel="1">
      <c r="A97" s="22" t="s">
        <v>166</v>
      </c>
      <c r="B97" s="17" t="s">
        <v>167</v>
      </c>
      <c r="C97" s="16" t="s">
        <v>120</v>
      </c>
      <c r="D97" s="9"/>
      <c r="E97" s="10"/>
      <c r="G97" s="25"/>
      <c r="H97" s="25">
        <f t="shared" si="20"/>
        <v>0</v>
      </c>
      <c r="I97" s="25">
        <v>0.0</v>
      </c>
      <c r="J97" s="9">
        <f t="shared" si="21"/>
        <v>0</v>
      </c>
    </row>
    <row r="98" outlineLevel="1">
      <c r="A98" s="22" t="s">
        <v>168</v>
      </c>
      <c r="B98" s="17" t="s">
        <v>169</v>
      </c>
      <c r="C98" s="16" t="str">
        <f>"nach Aufwand, mind. "&amp;E98&amp; " €"</f>
        <v>nach Aufwand, mind. 72,3 €</v>
      </c>
      <c r="D98" s="9"/>
      <c r="E98" s="24">
        <v>72.3</v>
      </c>
      <c r="G98" s="25"/>
      <c r="H98" s="25">
        <f t="shared" si="20"/>
        <v>0</v>
      </c>
      <c r="I98" s="25">
        <v>0.0</v>
      </c>
      <c r="J98" s="9">
        <f t="shared" si="21"/>
        <v>0</v>
      </c>
    </row>
    <row r="99" outlineLevel="1">
      <c r="A99" s="22" t="s">
        <v>170</v>
      </c>
      <c r="B99" s="17" t="s">
        <v>171</v>
      </c>
      <c r="C99" s="16" t="str">
        <f>E99&amp;" € bzw. nach Aufwand"</f>
        <v>259,2 € bzw. nach Aufwand</v>
      </c>
      <c r="D99" s="9"/>
      <c r="E99" s="24">
        <v>259.2</v>
      </c>
      <c r="G99" s="25"/>
      <c r="H99" s="25">
        <f t="shared" si="20"/>
        <v>0</v>
      </c>
      <c r="I99" s="25">
        <v>0.0</v>
      </c>
      <c r="J99" s="9">
        <f t="shared" si="21"/>
        <v>0</v>
      </c>
    </row>
    <row r="100" outlineLevel="1">
      <c r="A100" s="22" t="s">
        <v>172</v>
      </c>
      <c r="B100" s="17" t="s">
        <v>173</v>
      </c>
      <c r="C100" s="16" t="str">
        <f t="shared" ref="C100:C102" si="22">E100&amp;" € je Fahrt bzw. nach Aufwand"</f>
        <v>73,4 € je Fahrt bzw. nach Aufwand</v>
      </c>
      <c r="D100" s="9"/>
      <c r="E100" s="24">
        <v>73.4</v>
      </c>
      <c r="G100" s="25"/>
      <c r="H100" s="25">
        <f t="shared" si="20"/>
        <v>0</v>
      </c>
      <c r="I100" s="25">
        <v>0.0</v>
      </c>
      <c r="J100" s="9">
        <f t="shared" si="21"/>
        <v>0</v>
      </c>
    </row>
    <row r="101" outlineLevel="1">
      <c r="A101" s="22" t="s">
        <v>174</v>
      </c>
      <c r="B101" s="17" t="s">
        <v>175</v>
      </c>
      <c r="C101" s="16" t="str">
        <f t="shared" si="22"/>
        <v>99,3 € je Fahrt bzw. nach Aufwand</v>
      </c>
      <c r="D101" s="9"/>
      <c r="E101" s="24">
        <v>99.3</v>
      </c>
      <c r="G101" s="25"/>
      <c r="H101" s="25">
        <f t="shared" si="20"/>
        <v>0</v>
      </c>
      <c r="I101" s="16">
        <v>0.0</v>
      </c>
      <c r="J101" s="9">
        <f t="shared" si="21"/>
        <v>0</v>
      </c>
    </row>
    <row r="102" outlineLevel="1">
      <c r="A102" s="22" t="s">
        <v>176</v>
      </c>
      <c r="B102" s="17" t="s">
        <v>177</v>
      </c>
      <c r="C102" s="16" t="str">
        <f t="shared" si="22"/>
        <v>129,6 € je Fahrt bzw. nach Aufwand</v>
      </c>
      <c r="D102" s="9"/>
      <c r="E102" s="24">
        <v>129.6</v>
      </c>
      <c r="G102" s="25"/>
      <c r="H102" s="25">
        <f t="shared" si="20"/>
        <v>0</v>
      </c>
      <c r="I102" s="25">
        <v>0.0</v>
      </c>
      <c r="J102" s="9">
        <f t="shared" si="21"/>
        <v>0</v>
      </c>
    </row>
    <row r="103">
      <c r="A103" s="22"/>
      <c r="B103" s="18"/>
      <c r="D103" s="9"/>
      <c r="E103" s="10"/>
      <c r="J103" s="9"/>
    </row>
    <row r="104">
      <c r="A104" s="22"/>
      <c r="B104" s="18"/>
      <c r="D104" s="9"/>
      <c r="E104" s="10"/>
      <c r="J104" s="9"/>
    </row>
    <row r="105">
      <c r="A105" s="22"/>
      <c r="B105" s="2" t="s">
        <v>178</v>
      </c>
      <c r="D105" s="9"/>
      <c r="E105" s="10"/>
      <c r="J105" s="9"/>
    </row>
    <row r="106">
      <c r="A106" s="22"/>
      <c r="B106" s="2"/>
      <c r="D106" s="9"/>
      <c r="E106" s="10"/>
      <c r="J106" s="9"/>
    </row>
    <row r="107" collapsed="1">
      <c r="A107" s="1" t="s">
        <v>179</v>
      </c>
      <c r="B107" s="2" t="s">
        <v>180</v>
      </c>
      <c r="C107" s="21"/>
      <c r="D107" s="19"/>
      <c r="E107" s="20"/>
      <c r="F107" s="21"/>
      <c r="G107" s="21"/>
      <c r="J107" s="19">
        <f>SUM(J108:J111)</f>
        <v>0</v>
      </c>
    </row>
    <row r="108" hidden="1" outlineLevel="1">
      <c r="A108" s="22" t="s">
        <v>181</v>
      </c>
      <c r="B108" s="17" t="s">
        <v>182</v>
      </c>
      <c r="C108" s="16" t="s">
        <v>183</v>
      </c>
      <c r="D108" s="9"/>
      <c r="E108" s="24">
        <v>112.3</v>
      </c>
      <c r="G108" s="25"/>
      <c r="H108">
        <f t="shared" ref="H108:H114" si="23">F108*G108</f>
        <v>0</v>
      </c>
      <c r="I108" s="25">
        <v>0.0</v>
      </c>
      <c r="J108" s="9">
        <f t="shared" ref="J108:J114" si="24">D108*H108+E108*I108</f>
        <v>0</v>
      </c>
    </row>
    <row r="109" hidden="1" outlineLevel="1">
      <c r="A109" s="22" t="s">
        <v>184</v>
      </c>
      <c r="B109" s="17" t="s">
        <v>185</v>
      </c>
      <c r="C109" s="16" t="s">
        <v>183</v>
      </c>
      <c r="D109" s="9"/>
      <c r="E109" s="24">
        <v>99.3</v>
      </c>
      <c r="G109" s="25"/>
      <c r="H109">
        <f t="shared" si="23"/>
        <v>0</v>
      </c>
      <c r="I109" s="25">
        <v>0.0</v>
      </c>
      <c r="J109" s="9">
        <f t="shared" si="24"/>
        <v>0</v>
      </c>
    </row>
    <row r="110" hidden="1" outlineLevel="1">
      <c r="A110" s="22" t="s">
        <v>186</v>
      </c>
      <c r="B110" s="17" t="s">
        <v>187</v>
      </c>
      <c r="C110" s="16" t="s">
        <v>188</v>
      </c>
      <c r="D110" s="9"/>
      <c r="E110" s="10"/>
      <c r="G110" s="25"/>
      <c r="H110">
        <f t="shared" si="23"/>
        <v>0</v>
      </c>
      <c r="I110" s="25">
        <v>0.0</v>
      </c>
      <c r="J110" s="9">
        <f t="shared" si="24"/>
        <v>0</v>
      </c>
    </row>
    <row r="111" hidden="1" outlineLevel="1">
      <c r="A111" s="22" t="s">
        <v>189</v>
      </c>
      <c r="B111" s="17" t="s">
        <v>190</v>
      </c>
      <c r="C111" s="16" t="s">
        <v>191</v>
      </c>
      <c r="D111" s="9"/>
      <c r="E111" s="24">
        <v>421.2</v>
      </c>
      <c r="G111" s="25"/>
      <c r="H111">
        <f t="shared" si="23"/>
        <v>0</v>
      </c>
      <c r="I111" s="25">
        <v>0.0</v>
      </c>
      <c r="J111" s="9">
        <f t="shared" si="24"/>
        <v>0</v>
      </c>
    </row>
    <row r="112" hidden="1" outlineLevel="1">
      <c r="A112" s="22" t="s">
        <v>192</v>
      </c>
      <c r="B112" s="17" t="s">
        <v>193</v>
      </c>
      <c r="D112" s="9"/>
      <c r="E112" s="24">
        <v>54.0</v>
      </c>
      <c r="G112" s="25"/>
      <c r="H112">
        <f t="shared" si="23"/>
        <v>0</v>
      </c>
      <c r="I112" s="25">
        <v>0.0</v>
      </c>
      <c r="J112" s="9">
        <f t="shared" si="24"/>
        <v>0</v>
      </c>
    </row>
    <row r="113" hidden="1" outlineLevel="1">
      <c r="A113" s="22" t="s">
        <v>194</v>
      </c>
      <c r="B113" s="17" t="s">
        <v>195</v>
      </c>
      <c r="D113" s="9"/>
      <c r="E113" s="24">
        <v>456.8</v>
      </c>
      <c r="G113" s="25"/>
      <c r="H113">
        <f t="shared" si="23"/>
        <v>0</v>
      </c>
      <c r="I113" s="25">
        <v>0.0</v>
      </c>
      <c r="J113" s="9">
        <f t="shared" si="24"/>
        <v>0</v>
      </c>
    </row>
    <row r="114" hidden="1" outlineLevel="1">
      <c r="A114" s="22" t="s">
        <v>196</v>
      </c>
      <c r="B114" s="17" t="s">
        <v>197</v>
      </c>
      <c r="C114" s="16" t="s">
        <v>198</v>
      </c>
      <c r="D114" s="23">
        <v>5.4</v>
      </c>
      <c r="E114" s="24">
        <v>21.6</v>
      </c>
      <c r="G114" s="25"/>
      <c r="H114">
        <f t="shared" si="23"/>
        <v>0</v>
      </c>
      <c r="I114" s="25">
        <v>0.0</v>
      </c>
      <c r="J114" s="9">
        <f t="shared" si="24"/>
        <v>0</v>
      </c>
    </row>
    <row r="115">
      <c r="A115" s="22"/>
      <c r="B115" s="17"/>
      <c r="C115" s="16"/>
      <c r="D115" s="9"/>
      <c r="E115" s="24"/>
      <c r="J115" s="9"/>
    </row>
    <row r="116">
      <c r="A116" s="22"/>
      <c r="B116" s="17"/>
      <c r="C116" s="16"/>
      <c r="D116" s="9"/>
      <c r="E116" s="24"/>
      <c r="J116" s="9"/>
    </row>
    <row r="117">
      <c r="A117" s="1"/>
      <c r="B117" s="2" t="s">
        <v>199</v>
      </c>
      <c r="C117" s="3"/>
      <c r="D117" s="19"/>
      <c r="E117" s="27"/>
      <c r="F117" s="21"/>
      <c r="G117" s="21"/>
      <c r="I117" s="21"/>
      <c r="J117" s="9"/>
    </row>
    <row r="118">
      <c r="A118" s="22"/>
      <c r="B118" s="17"/>
      <c r="C118" s="16"/>
      <c r="D118" s="9"/>
      <c r="E118" s="24"/>
      <c r="J118" s="9"/>
    </row>
    <row r="119">
      <c r="A119" s="1" t="s">
        <v>200</v>
      </c>
      <c r="B119" s="2" t="s">
        <v>201</v>
      </c>
      <c r="C119" s="3"/>
      <c r="D119" s="19"/>
      <c r="E119" s="27"/>
      <c r="F119" s="21"/>
      <c r="G119" s="21"/>
      <c r="I119" s="21"/>
      <c r="J119" s="19">
        <f>SUM(J120:J144)</f>
        <v>0</v>
      </c>
    </row>
    <row r="120" outlineLevel="1">
      <c r="A120" s="22" t="s">
        <v>202</v>
      </c>
      <c r="B120" s="17" t="s">
        <v>203</v>
      </c>
      <c r="C120" s="16" t="s">
        <v>204</v>
      </c>
      <c r="D120" s="23">
        <v>1.8</v>
      </c>
      <c r="E120" s="24"/>
      <c r="F120" s="16"/>
      <c r="G120" s="25"/>
      <c r="H120" s="25">
        <f t="shared" ref="H120:H144" si="25">F120*if(G120&lt;&gt;"",G120,1)</f>
        <v>0</v>
      </c>
      <c r="I120" s="25">
        <v>0.0</v>
      </c>
      <c r="J120" s="9">
        <f t="shared" ref="J120:J144" si="26">D120*H120+E120*I120</f>
        <v>0</v>
      </c>
    </row>
    <row r="121" outlineLevel="1">
      <c r="A121" s="22" t="s">
        <v>205</v>
      </c>
      <c r="B121" s="17" t="s">
        <v>206</v>
      </c>
      <c r="C121" s="16" t="s">
        <v>204</v>
      </c>
      <c r="D121" s="9"/>
      <c r="E121" s="24"/>
      <c r="G121" s="25"/>
      <c r="H121" s="25">
        <f t="shared" si="25"/>
        <v>0</v>
      </c>
      <c r="I121" s="25">
        <v>0.0</v>
      </c>
      <c r="J121" s="9">
        <f t="shared" si="26"/>
        <v>0</v>
      </c>
    </row>
    <row r="122" outlineLevel="1">
      <c r="A122" s="22" t="s">
        <v>207</v>
      </c>
      <c r="B122" s="17" t="s">
        <v>208</v>
      </c>
      <c r="C122" s="16" t="s">
        <v>204</v>
      </c>
      <c r="D122" s="9"/>
      <c r="E122" s="24"/>
      <c r="G122" s="25"/>
      <c r="H122" s="25">
        <f t="shared" si="25"/>
        <v>0</v>
      </c>
      <c r="I122" s="25">
        <v>0.0</v>
      </c>
      <c r="J122" s="9">
        <f t="shared" si="26"/>
        <v>0</v>
      </c>
    </row>
    <row r="123" outlineLevel="1">
      <c r="A123" s="22" t="s">
        <v>209</v>
      </c>
      <c r="B123" s="17" t="s">
        <v>210</v>
      </c>
      <c r="C123" s="16" t="s">
        <v>204</v>
      </c>
      <c r="D123" s="9"/>
      <c r="E123" s="10"/>
      <c r="G123" s="25"/>
      <c r="H123" s="25">
        <f t="shared" si="25"/>
        <v>0</v>
      </c>
      <c r="I123" s="25">
        <v>0.0</v>
      </c>
      <c r="J123" s="9">
        <f t="shared" si="26"/>
        <v>0</v>
      </c>
    </row>
    <row r="124" outlineLevel="1">
      <c r="A124" s="22" t="s">
        <v>211</v>
      </c>
      <c r="B124" s="17" t="s">
        <v>212</v>
      </c>
      <c r="C124" s="16" t="s">
        <v>213</v>
      </c>
      <c r="D124" s="23">
        <v>49.0</v>
      </c>
      <c r="E124" s="10"/>
      <c r="F124" s="16"/>
      <c r="G124" s="16"/>
      <c r="H124" s="25">
        <f t="shared" si="25"/>
        <v>0</v>
      </c>
      <c r="I124" s="25">
        <v>0.0</v>
      </c>
      <c r="J124" s="9">
        <f t="shared" si="26"/>
        <v>0</v>
      </c>
    </row>
    <row r="125" outlineLevel="1">
      <c r="A125" s="22" t="s">
        <v>214</v>
      </c>
      <c r="B125" s="17" t="s">
        <v>215</v>
      </c>
      <c r="C125" s="16" t="s">
        <v>216</v>
      </c>
      <c r="D125" s="23">
        <v>39.0</v>
      </c>
      <c r="E125" s="10"/>
      <c r="F125" s="16"/>
      <c r="G125" s="16"/>
      <c r="H125" s="25">
        <f t="shared" si="25"/>
        <v>0</v>
      </c>
      <c r="I125" s="25">
        <v>0.0</v>
      </c>
      <c r="J125" s="9">
        <f t="shared" si="26"/>
        <v>0</v>
      </c>
    </row>
    <row r="126" outlineLevel="1">
      <c r="A126" s="22" t="s">
        <v>217</v>
      </c>
      <c r="B126" s="17" t="s">
        <v>218</v>
      </c>
      <c r="C126" s="16" t="s">
        <v>216</v>
      </c>
      <c r="D126" s="23">
        <v>81.6</v>
      </c>
      <c r="E126" s="10"/>
      <c r="F126" s="16"/>
      <c r="G126" s="25"/>
      <c r="H126" s="25">
        <f t="shared" si="25"/>
        <v>0</v>
      </c>
      <c r="I126" s="25">
        <v>0.0</v>
      </c>
      <c r="J126" s="9">
        <f t="shared" si="26"/>
        <v>0</v>
      </c>
    </row>
    <row r="127" outlineLevel="1">
      <c r="A127" s="22" t="s">
        <v>219</v>
      </c>
      <c r="B127" s="17" t="s">
        <v>220</v>
      </c>
      <c r="C127" s="16" t="s">
        <v>216</v>
      </c>
      <c r="D127" s="23">
        <v>246.0</v>
      </c>
      <c r="E127" s="10"/>
      <c r="F127" s="16"/>
      <c r="G127" s="16"/>
      <c r="H127" s="25">
        <f t="shared" si="25"/>
        <v>0</v>
      </c>
      <c r="I127" s="25">
        <v>0.0</v>
      </c>
      <c r="J127" s="9">
        <f t="shared" si="26"/>
        <v>0</v>
      </c>
    </row>
    <row r="128" outlineLevel="1">
      <c r="A128" s="22" t="s">
        <v>221</v>
      </c>
      <c r="B128" s="17" t="s">
        <v>222</v>
      </c>
      <c r="C128" s="16" t="s">
        <v>216</v>
      </c>
      <c r="D128" s="23">
        <v>177.6</v>
      </c>
      <c r="E128" s="10"/>
      <c r="F128" s="16"/>
      <c r="G128" s="25"/>
      <c r="H128" s="25">
        <f t="shared" si="25"/>
        <v>0</v>
      </c>
      <c r="I128" s="25">
        <v>0.0</v>
      </c>
      <c r="J128" s="9">
        <f t="shared" si="26"/>
        <v>0</v>
      </c>
    </row>
    <row r="129" outlineLevel="1">
      <c r="A129" s="22" t="s">
        <v>223</v>
      </c>
      <c r="B129" s="28" t="s">
        <v>224</v>
      </c>
      <c r="C129" s="16" t="s">
        <v>216</v>
      </c>
      <c r="D129" s="23">
        <v>43.8</v>
      </c>
      <c r="E129" s="10"/>
      <c r="F129" s="16"/>
      <c r="G129" s="25"/>
      <c r="H129" s="25">
        <f t="shared" si="25"/>
        <v>0</v>
      </c>
      <c r="I129" s="25">
        <v>0.0</v>
      </c>
      <c r="J129" s="9">
        <f t="shared" si="26"/>
        <v>0</v>
      </c>
    </row>
    <row r="130" outlineLevel="1">
      <c r="A130" s="22" t="s">
        <v>225</v>
      </c>
      <c r="B130" s="17" t="s">
        <v>226</v>
      </c>
      <c r="C130" s="16" t="s">
        <v>216</v>
      </c>
      <c r="D130" s="23">
        <v>60.0</v>
      </c>
      <c r="E130" s="10"/>
      <c r="F130" s="16"/>
      <c r="G130" s="25"/>
      <c r="H130" s="25">
        <f t="shared" si="25"/>
        <v>0</v>
      </c>
      <c r="I130" s="25">
        <v>0.0</v>
      </c>
      <c r="J130" s="9">
        <f t="shared" si="26"/>
        <v>0</v>
      </c>
    </row>
    <row r="131" outlineLevel="1">
      <c r="A131" s="22" t="s">
        <v>227</v>
      </c>
      <c r="B131" s="17" t="s">
        <v>228</v>
      </c>
      <c r="C131" s="16" t="s">
        <v>216</v>
      </c>
      <c r="D131" s="23">
        <v>100.0</v>
      </c>
      <c r="E131" s="10"/>
      <c r="F131" s="16"/>
      <c r="G131" s="25"/>
      <c r="H131" s="25">
        <f t="shared" si="25"/>
        <v>0</v>
      </c>
      <c r="I131" s="25">
        <v>0.0</v>
      </c>
      <c r="J131" s="9">
        <f t="shared" si="26"/>
        <v>0</v>
      </c>
    </row>
    <row r="132" outlineLevel="1">
      <c r="A132" s="22" t="s">
        <v>229</v>
      </c>
      <c r="B132" s="17" t="s">
        <v>230</v>
      </c>
      <c r="C132" s="16" t="s">
        <v>216</v>
      </c>
      <c r="D132" s="23">
        <v>51.9</v>
      </c>
      <c r="E132" s="10"/>
      <c r="H132" s="25">
        <f t="shared" si="25"/>
        <v>0</v>
      </c>
      <c r="I132" s="25">
        <v>0.0</v>
      </c>
      <c r="J132" s="9">
        <f t="shared" si="26"/>
        <v>0</v>
      </c>
    </row>
    <row r="133" outlineLevel="1">
      <c r="A133" s="22" t="s">
        <v>231</v>
      </c>
      <c r="B133" s="17" t="s">
        <v>232</v>
      </c>
      <c r="C133" s="16" t="s">
        <v>216</v>
      </c>
      <c r="D133" s="23">
        <v>19.2</v>
      </c>
      <c r="E133" s="10"/>
      <c r="F133" s="16"/>
      <c r="G133" s="25"/>
      <c r="H133" s="25">
        <f t="shared" si="25"/>
        <v>0</v>
      </c>
      <c r="I133" s="25">
        <v>0.0</v>
      </c>
      <c r="J133" s="9">
        <f t="shared" si="26"/>
        <v>0</v>
      </c>
    </row>
    <row r="134" outlineLevel="1">
      <c r="A134" s="22" t="s">
        <v>233</v>
      </c>
      <c r="B134" s="17" t="s">
        <v>234</v>
      </c>
      <c r="C134" s="16" t="s">
        <v>216</v>
      </c>
      <c r="D134" s="23">
        <v>500.0</v>
      </c>
      <c r="E134" s="10"/>
      <c r="F134" s="16"/>
      <c r="G134" s="25"/>
      <c r="H134" s="25">
        <f t="shared" si="25"/>
        <v>0</v>
      </c>
      <c r="I134" s="25">
        <v>0.0</v>
      </c>
      <c r="J134" s="9">
        <f t="shared" si="26"/>
        <v>0</v>
      </c>
    </row>
    <row r="135" outlineLevel="1">
      <c r="A135" s="22" t="s">
        <v>235</v>
      </c>
      <c r="B135" s="17" t="s">
        <v>236</v>
      </c>
      <c r="C135" s="16" t="s">
        <v>216</v>
      </c>
      <c r="D135" s="23">
        <v>200.0</v>
      </c>
      <c r="E135" s="10"/>
      <c r="F135" s="16"/>
      <c r="G135" s="16"/>
      <c r="H135" s="25">
        <f t="shared" si="25"/>
        <v>0</v>
      </c>
      <c r="I135" s="25">
        <v>0.0</v>
      </c>
      <c r="J135" s="9">
        <f t="shared" si="26"/>
        <v>0</v>
      </c>
    </row>
    <row r="136" outlineLevel="1">
      <c r="A136" s="22" t="s">
        <v>237</v>
      </c>
      <c r="B136" s="17" t="s">
        <v>238</v>
      </c>
      <c r="C136" s="16" t="s">
        <v>216</v>
      </c>
      <c r="D136" s="23">
        <v>50.0</v>
      </c>
      <c r="E136" s="10"/>
      <c r="F136" s="16"/>
      <c r="G136" s="16"/>
      <c r="H136" s="25">
        <f t="shared" si="25"/>
        <v>0</v>
      </c>
      <c r="I136" s="25">
        <v>0.0</v>
      </c>
      <c r="J136" s="9">
        <f t="shared" si="26"/>
        <v>0</v>
      </c>
    </row>
    <row r="137" outlineLevel="1">
      <c r="A137" s="22" t="s">
        <v>239</v>
      </c>
      <c r="B137" s="29" t="s">
        <v>240</v>
      </c>
      <c r="C137" s="16" t="s">
        <v>216</v>
      </c>
      <c r="D137" s="30">
        <v>190.8</v>
      </c>
      <c r="E137" s="10"/>
      <c r="F137" s="16"/>
      <c r="G137" s="16"/>
      <c r="H137" s="25">
        <f t="shared" si="25"/>
        <v>0</v>
      </c>
      <c r="I137" s="25">
        <v>0.0</v>
      </c>
      <c r="J137" s="9">
        <f t="shared" si="26"/>
        <v>0</v>
      </c>
    </row>
    <row r="138" outlineLevel="1">
      <c r="A138" s="22" t="s">
        <v>241</v>
      </c>
      <c r="B138" s="29" t="s">
        <v>242</v>
      </c>
      <c r="C138" s="16" t="s">
        <v>216</v>
      </c>
      <c r="D138" s="30">
        <v>258.0</v>
      </c>
      <c r="E138" s="10"/>
      <c r="F138" s="16"/>
      <c r="G138" s="16"/>
      <c r="H138" s="25">
        <f t="shared" si="25"/>
        <v>0</v>
      </c>
      <c r="I138" s="25">
        <v>0.0</v>
      </c>
      <c r="J138" s="9">
        <f t="shared" si="26"/>
        <v>0</v>
      </c>
    </row>
    <row r="139" outlineLevel="1">
      <c r="A139" s="22" t="s">
        <v>243</v>
      </c>
      <c r="B139" s="29" t="s">
        <v>244</v>
      </c>
      <c r="C139" s="16" t="s">
        <v>216</v>
      </c>
      <c r="D139" s="30">
        <v>380.4</v>
      </c>
      <c r="E139" s="10"/>
      <c r="F139" s="16"/>
      <c r="G139" s="16"/>
      <c r="H139" s="25">
        <f t="shared" si="25"/>
        <v>0</v>
      </c>
      <c r="I139" s="25">
        <v>0.0</v>
      </c>
      <c r="J139" s="9">
        <f t="shared" si="26"/>
        <v>0</v>
      </c>
    </row>
    <row r="140" outlineLevel="1">
      <c r="A140" s="22" t="s">
        <v>245</v>
      </c>
      <c r="B140" s="31" t="s">
        <v>246</v>
      </c>
      <c r="C140" s="16" t="s">
        <v>216</v>
      </c>
      <c r="D140" s="32">
        <v>370.0</v>
      </c>
      <c r="E140" s="10"/>
      <c r="F140" s="16"/>
      <c r="G140" s="16"/>
      <c r="H140" s="25">
        <f t="shared" si="25"/>
        <v>0</v>
      </c>
      <c r="I140" s="25">
        <v>0.0</v>
      </c>
      <c r="J140" s="9">
        <f t="shared" si="26"/>
        <v>0</v>
      </c>
    </row>
    <row r="141" outlineLevel="1">
      <c r="A141" s="22" t="s">
        <v>247</v>
      </c>
      <c r="B141" s="31" t="s">
        <v>248</v>
      </c>
      <c r="C141" s="16" t="s">
        <v>216</v>
      </c>
      <c r="D141" s="32">
        <v>600.0</v>
      </c>
      <c r="E141" s="10"/>
      <c r="F141" s="16"/>
      <c r="G141" s="16"/>
      <c r="H141" s="25">
        <f t="shared" si="25"/>
        <v>0</v>
      </c>
      <c r="I141" s="25">
        <v>0.0</v>
      </c>
      <c r="J141" s="9">
        <f t="shared" si="26"/>
        <v>0</v>
      </c>
    </row>
    <row r="142" outlineLevel="1">
      <c r="A142" s="22" t="s">
        <v>249</v>
      </c>
      <c r="B142" s="31" t="s">
        <v>250</v>
      </c>
      <c r="C142" s="16" t="s">
        <v>216</v>
      </c>
      <c r="D142" s="32">
        <v>50.0</v>
      </c>
      <c r="E142" s="10"/>
      <c r="F142" s="16"/>
      <c r="G142" s="16"/>
      <c r="H142" s="25">
        <f t="shared" si="25"/>
        <v>0</v>
      </c>
      <c r="I142" s="25">
        <v>0.0</v>
      </c>
      <c r="J142" s="9">
        <f t="shared" si="26"/>
        <v>0</v>
      </c>
    </row>
    <row r="143" outlineLevel="1">
      <c r="A143" s="22" t="s">
        <v>251</v>
      </c>
      <c r="B143" s="31" t="s">
        <v>252</v>
      </c>
      <c r="C143" s="16" t="s">
        <v>253</v>
      </c>
      <c r="D143" s="32">
        <v>60.0</v>
      </c>
      <c r="E143" s="10"/>
      <c r="F143" s="16"/>
      <c r="G143" s="16"/>
      <c r="H143" s="25">
        <f t="shared" si="25"/>
        <v>0</v>
      </c>
      <c r="I143" s="25">
        <v>0.0</v>
      </c>
      <c r="J143" s="9">
        <f t="shared" si="26"/>
        <v>0</v>
      </c>
    </row>
    <row r="144" outlineLevel="1">
      <c r="A144" s="22" t="s">
        <v>254</v>
      </c>
      <c r="D144" s="32">
        <v>-2.5</v>
      </c>
      <c r="E144" s="10"/>
      <c r="F144" s="16"/>
      <c r="G144" s="25"/>
      <c r="H144" s="25">
        <f t="shared" si="25"/>
        <v>0</v>
      </c>
      <c r="I144" s="25">
        <v>0.0</v>
      </c>
      <c r="J144" s="9">
        <f t="shared" si="26"/>
        <v>0</v>
      </c>
    </row>
    <row r="145">
      <c r="A145" s="8"/>
      <c r="B145" s="18"/>
      <c r="D145" s="9"/>
      <c r="E145" s="10"/>
      <c r="J145" s="9"/>
    </row>
    <row r="146">
      <c r="A146" s="33"/>
      <c r="B146" s="34" t="s">
        <v>256</v>
      </c>
      <c r="C146" s="35"/>
      <c r="D146" s="36"/>
      <c r="E146" s="37"/>
      <c r="F146" s="35"/>
      <c r="G146" s="35"/>
      <c r="H146" s="35"/>
      <c r="I146" s="35"/>
      <c r="J146" s="36">
        <f>SUM(J14,J20,J42,J49,J62,J66,J75,J80,J95,J107,J119)</f>
        <v>577.7</v>
      </c>
    </row>
    <row r="147">
      <c r="A147" s="8"/>
      <c r="B147" s="18"/>
      <c r="D147" s="9"/>
      <c r="E147" s="10"/>
      <c r="J147" s="9"/>
    </row>
    <row r="148">
      <c r="A148" s="22"/>
      <c r="B148" s="17" t="s">
        <v>257</v>
      </c>
      <c r="D148" s="9"/>
      <c r="E148" s="10"/>
      <c r="F148" s="10"/>
      <c r="G148" s="10"/>
      <c r="H148" s="10"/>
      <c r="I148" s="10"/>
      <c r="J148" s="10"/>
    </row>
    <row r="149">
      <c r="A149" s="8"/>
      <c r="B149" s="38" t="s">
        <v>258</v>
      </c>
      <c r="D149" s="9"/>
      <c r="E149" s="10"/>
      <c r="F149" s="10"/>
      <c r="G149" s="10"/>
      <c r="H149" s="10"/>
      <c r="I149" s="10"/>
      <c r="J149" s="10"/>
    </row>
    <row r="150">
      <c r="A150" s="8"/>
      <c r="B150" s="18"/>
      <c r="D150" s="9"/>
      <c r="E150" s="10"/>
      <c r="J150" s="23"/>
    </row>
    <row r="151">
      <c r="A151" s="8"/>
      <c r="B151" s="18"/>
      <c r="D151" s="9"/>
      <c r="E151" s="10"/>
      <c r="J151" s="9"/>
    </row>
    <row r="152">
      <c r="A152" s="8"/>
      <c r="B152" s="17" t="s">
        <v>259</v>
      </c>
      <c r="E152" s="10"/>
    </row>
    <row r="153">
      <c r="A153" s="8"/>
      <c r="B153" s="17" t="s">
        <v>260</v>
      </c>
      <c r="E153" s="17"/>
      <c r="F153" s="17"/>
      <c r="G153" s="17"/>
      <c r="H153" s="17"/>
      <c r="I153" s="17"/>
      <c r="J153" s="9"/>
    </row>
    <row r="154">
      <c r="A154" s="8"/>
      <c r="B154" s="18"/>
      <c r="D154" s="9"/>
      <c r="E154" s="10"/>
      <c r="J154" s="9"/>
    </row>
    <row r="155">
      <c r="A155" s="8"/>
      <c r="B155" s="17" t="s">
        <v>261</v>
      </c>
      <c r="E155" s="10"/>
      <c r="J155" s="9"/>
    </row>
    <row r="156">
      <c r="A156" s="8"/>
      <c r="B156" s="39" t="s">
        <v>262</v>
      </c>
    </row>
    <row r="157">
      <c r="A157" s="8"/>
      <c r="B157" s="18"/>
      <c r="C157" s="17"/>
      <c r="D157" s="17"/>
      <c r="E157" s="17"/>
      <c r="F157" s="17"/>
      <c r="G157" s="17"/>
      <c r="H157" s="17"/>
      <c r="I157" s="17"/>
      <c r="J157" s="9"/>
    </row>
    <row r="158">
      <c r="A158" s="8"/>
      <c r="B158" s="18"/>
      <c r="D158" s="9"/>
      <c r="E158" s="10"/>
      <c r="J158" s="9"/>
    </row>
    <row r="159">
      <c r="A159" s="8"/>
      <c r="B159" s="18"/>
      <c r="D159" s="9"/>
      <c r="E159" s="10"/>
      <c r="J159" s="9"/>
    </row>
    <row r="160">
      <c r="A160" s="8"/>
      <c r="B160" s="18"/>
      <c r="D160" s="9"/>
      <c r="E160" s="10"/>
      <c r="J160" s="9"/>
    </row>
    <row r="161">
      <c r="A161" s="8"/>
      <c r="B161" s="18"/>
      <c r="D161" s="9"/>
      <c r="E161" s="10"/>
      <c r="J161" s="9"/>
    </row>
  </sheetData>
  <mergeCells count="12">
    <mergeCell ref="B152:D152"/>
    <mergeCell ref="E152:J152"/>
    <mergeCell ref="B153:D153"/>
    <mergeCell ref="B155:D155"/>
    <mergeCell ref="B156:J156"/>
    <mergeCell ref="C3:I3"/>
    <mergeCell ref="C4:I4"/>
    <mergeCell ref="C5:I5"/>
    <mergeCell ref="C7:I7"/>
    <mergeCell ref="C8:I8"/>
    <mergeCell ref="C9:I9"/>
    <mergeCell ref="C10:I10"/>
  </mergeCells>
  <dataValidations>
    <dataValidation type="list" allowBlank="1" sqref="C9">
      <formula1>"Bar - Betrag eingehoben,Kreditkarte - Betrag eingehoben,Rechnung - Betrag ausständig"</formula1>
    </dataValidation>
  </dataValidations>
  <hyperlinks>
    <hyperlink r:id="rId1" ref="B149"/>
    <hyperlink r:id="rId2" ref="B156"/>
  </hyperlinks>
  <printOptions horizontalCentered="1"/>
  <pageMargins bottom="0.75" footer="0.0" header="0.0" left="0.7" right="0.7" top="0.75"/>
  <pageSetup fitToHeight="0" paperSize="9" orientation="portrait" pageOrder="overThenDown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6.0"/>
    <col customWidth="1" min="2" max="2" width="34.63"/>
    <col customWidth="1" min="4" max="4" width="10.13"/>
    <col customWidth="1" min="5" max="5" width="10.25"/>
    <col customWidth="1" min="6" max="6" width="8.63"/>
    <col customWidth="1" min="7" max="7" width="6.88"/>
    <col customWidth="1" min="8" max="8" width="6.25"/>
    <col customWidth="1" min="9" max="9" width="8.63"/>
  </cols>
  <sheetData>
    <row r="1">
      <c r="A1" s="1"/>
      <c r="B1" s="2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7" t="s">
        <v>8</v>
      </c>
    </row>
    <row r="2">
      <c r="A2" s="8"/>
      <c r="B2" s="2"/>
      <c r="D2" s="9"/>
      <c r="E2" s="10"/>
      <c r="J2" s="9"/>
    </row>
    <row r="3">
      <c r="A3" s="8"/>
      <c r="B3" s="2" t="s">
        <v>9</v>
      </c>
      <c r="C3" s="11"/>
      <c r="J3" s="9"/>
    </row>
    <row r="4">
      <c r="A4" s="8"/>
      <c r="B4" s="2" t="s">
        <v>10</v>
      </c>
      <c r="C4" s="12"/>
      <c r="J4" s="9"/>
    </row>
    <row r="5">
      <c r="A5" s="8"/>
      <c r="B5" s="2" t="s">
        <v>11</v>
      </c>
      <c r="C5" s="11"/>
      <c r="J5" s="9"/>
    </row>
    <row r="6">
      <c r="A6" s="8"/>
      <c r="B6" s="2" t="s">
        <v>12</v>
      </c>
      <c r="C6" s="13"/>
      <c r="D6" s="14"/>
      <c r="E6" s="14"/>
      <c r="F6" s="14"/>
      <c r="G6" s="14"/>
      <c r="H6" s="14"/>
      <c r="I6" s="14"/>
      <c r="J6" s="9"/>
    </row>
    <row r="7">
      <c r="A7" s="8"/>
      <c r="B7" s="2" t="s">
        <v>13</v>
      </c>
      <c r="C7" s="14"/>
      <c r="J7" s="15"/>
    </row>
    <row r="8">
      <c r="A8" s="8"/>
      <c r="B8" s="2" t="s">
        <v>14</v>
      </c>
      <c r="C8" s="11"/>
      <c r="J8" s="9"/>
    </row>
    <row r="9">
      <c r="A9" s="8"/>
      <c r="B9" s="2" t="s">
        <v>15</v>
      </c>
      <c r="J9" s="9"/>
    </row>
    <row r="10">
      <c r="A10" s="8"/>
      <c r="B10" s="2" t="s">
        <v>16</v>
      </c>
      <c r="C10" s="17"/>
      <c r="J10" s="9"/>
    </row>
    <row r="11">
      <c r="A11" s="8"/>
      <c r="B11" s="2"/>
      <c r="D11" s="9"/>
      <c r="E11" s="10"/>
      <c r="J11" s="9"/>
    </row>
    <row r="12">
      <c r="A12" s="8"/>
      <c r="B12" s="2" t="s">
        <v>17</v>
      </c>
      <c r="D12" s="9"/>
      <c r="E12" s="10"/>
      <c r="J12" s="9"/>
    </row>
    <row r="13">
      <c r="A13" s="8"/>
      <c r="B13" s="18"/>
      <c r="D13" s="9"/>
      <c r="E13" s="10"/>
      <c r="J13" s="9"/>
    </row>
    <row r="14">
      <c r="A14" s="1" t="s">
        <v>18</v>
      </c>
      <c r="B14" s="2" t="s">
        <v>19</v>
      </c>
      <c r="C14" s="3"/>
      <c r="D14" s="19"/>
      <c r="E14" s="20"/>
      <c r="F14" s="3"/>
      <c r="G14" s="3"/>
      <c r="H14" s="3"/>
      <c r="I14" s="21"/>
      <c r="J14" s="19">
        <f>SUM(J15:J18)</f>
        <v>194.4</v>
      </c>
    </row>
    <row r="15" outlineLevel="1">
      <c r="A15" s="22" t="s">
        <v>20</v>
      </c>
      <c r="B15" s="17" t="s">
        <v>21</v>
      </c>
      <c r="C15" s="16" t="s">
        <v>22</v>
      </c>
      <c r="D15" s="23">
        <v>32.4</v>
      </c>
      <c r="E15" s="24"/>
      <c r="F15" s="16">
        <v>6.0</v>
      </c>
      <c r="G15" s="16"/>
      <c r="H15" s="16">
        <f t="shared" ref="H15:H18" si="1">F15*IF(G15&lt;&gt;"",G15,1)</f>
        <v>6</v>
      </c>
      <c r="I15" s="25">
        <v>0.0</v>
      </c>
      <c r="J15" s="9">
        <f t="shared" ref="J15:J18" si="2">D15*H15+E15*I15</f>
        <v>194.4</v>
      </c>
    </row>
    <row r="16" outlineLevel="1">
      <c r="A16" s="22" t="s">
        <v>23</v>
      </c>
      <c r="B16" s="17" t="s">
        <v>24</v>
      </c>
      <c r="C16" s="16" t="s">
        <v>22</v>
      </c>
      <c r="D16" s="23">
        <v>32.4</v>
      </c>
      <c r="E16" s="24"/>
      <c r="G16" t="str">
        <f t="shared" ref="G16:G18" si="3">$G$15</f>
        <v/>
      </c>
      <c r="H16" s="16">
        <f t="shared" si="1"/>
        <v>0</v>
      </c>
      <c r="I16" s="25">
        <v>0.0</v>
      </c>
      <c r="J16" s="9">
        <f t="shared" si="2"/>
        <v>0</v>
      </c>
    </row>
    <row r="17" outlineLevel="1">
      <c r="A17" s="22" t="s">
        <v>25</v>
      </c>
      <c r="B17" s="17" t="s">
        <v>26</v>
      </c>
      <c r="C17" s="16" t="s">
        <v>22</v>
      </c>
      <c r="D17" s="23">
        <v>105.8</v>
      </c>
      <c r="E17" s="24"/>
      <c r="F17" s="16"/>
      <c r="G17" t="str">
        <f t="shared" si="3"/>
        <v/>
      </c>
      <c r="H17" s="16">
        <f t="shared" si="1"/>
        <v>0</v>
      </c>
      <c r="I17" s="25">
        <v>0.0</v>
      </c>
      <c r="J17" s="9">
        <f t="shared" si="2"/>
        <v>0</v>
      </c>
    </row>
    <row r="18" outlineLevel="1">
      <c r="A18" s="22" t="s">
        <v>27</v>
      </c>
      <c r="B18" s="17" t="s">
        <v>28</v>
      </c>
      <c r="C18" s="16" t="s">
        <v>29</v>
      </c>
      <c r="D18" s="23">
        <v>0.42</v>
      </c>
      <c r="E18" s="24"/>
      <c r="G18" t="str">
        <f t="shared" si="3"/>
        <v/>
      </c>
      <c r="H18" s="16">
        <f t="shared" si="1"/>
        <v>0</v>
      </c>
      <c r="I18" s="25">
        <v>0.0</v>
      </c>
      <c r="J18" s="9">
        <f t="shared" si="2"/>
        <v>0</v>
      </c>
    </row>
    <row r="19">
      <c r="A19" s="8"/>
      <c r="B19" s="18"/>
      <c r="D19" s="9"/>
      <c r="E19" s="10"/>
      <c r="J19" s="9"/>
    </row>
    <row r="20">
      <c r="A20" s="1" t="s">
        <v>30</v>
      </c>
      <c r="B20" s="2" t="s">
        <v>31</v>
      </c>
      <c r="C20" s="21"/>
      <c r="D20" s="19"/>
      <c r="E20" s="20"/>
      <c r="F20" s="21"/>
      <c r="H20" s="21"/>
      <c r="I20" s="21"/>
      <c r="J20" s="19">
        <f>SUM(J21:J40)</f>
        <v>245.1</v>
      </c>
    </row>
    <row r="21" outlineLevel="1">
      <c r="A21" s="22" t="s">
        <v>32</v>
      </c>
      <c r="B21" s="26" t="s">
        <v>33</v>
      </c>
      <c r="C21" s="16" t="s">
        <v>34</v>
      </c>
      <c r="D21" s="23">
        <v>63.7</v>
      </c>
      <c r="E21" s="24">
        <v>318.5</v>
      </c>
      <c r="F21" s="16">
        <v>1.0</v>
      </c>
      <c r="G21" t="str">
        <f t="shared" ref="G21:G40" si="4">$G$15</f>
        <v/>
      </c>
      <c r="H21" s="25">
        <f t="shared" ref="H21:H40" si="5">F21*if(G21&lt;&gt;"",G21,1)</f>
        <v>1</v>
      </c>
      <c r="I21" s="25">
        <v>0.0</v>
      </c>
      <c r="J21" s="9">
        <f t="shared" ref="J21:J40" si="6">D21*H21+E21*I21</f>
        <v>63.7</v>
      </c>
    </row>
    <row r="22" outlineLevel="1">
      <c r="A22" s="22" t="s">
        <v>35</v>
      </c>
      <c r="B22" s="17" t="s">
        <v>36</v>
      </c>
      <c r="C22" s="16" t="s">
        <v>34</v>
      </c>
      <c r="D22" s="23">
        <v>90.7</v>
      </c>
      <c r="E22" s="24">
        <v>453.5</v>
      </c>
      <c r="F22" s="16"/>
      <c r="G22" t="str">
        <f t="shared" si="4"/>
        <v/>
      </c>
      <c r="H22" s="25">
        <f t="shared" si="5"/>
        <v>0</v>
      </c>
      <c r="I22" s="25">
        <v>0.0</v>
      </c>
      <c r="J22" s="9">
        <f t="shared" si="6"/>
        <v>0</v>
      </c>
    </row>
    <row r="23" outlineLevel="1">
      <c r="A23" s="22" t="s">
        <v>37</v>
      </c>
      <c r="B23" s="26" t="s">
        <v>38</v>
      </c>
      <c r="C23" s="16" t="s">
        <v>34</v>
      </c>
      <c r="D23" s="23">
        <v>106.9</v>
      </c>
      <c r="E23" s="24">
        <v>534.5</v>
      </c>
      <c r="G23" t="str">
        <f t="shared" si="4"/>
        <v/>
      </c>
      <c r="H23" s="25">
        <f t="shared" si="5"/>
        <v>0</v>
      </c>
      <c r="I23" s="25">
        <v>0.0</v>
      </c>
      <c r="J23" s="9">
        <f t="shared" si="6"/>
        <v>0</v>
      </c>
    </row>
    <row r="24" outlineLevel="1">
      <c r="A24" s="22" t="s">
        <v>39</v>
      </c>
      <c r="B24" s="26" t="s">
        <v>40</v>
      </c>
      <c r="C24" s="16" t="s">
        <v>34</v>
      </c>
      <c r="D24" s="23">
        <v>122.0</v>
      </c>
      <c r="E24" s="24">
        <v>610.0</v>
      </c>
      <c r="G24" t="str">
        <f t="shared" si="4"/>
        <v/>
      </c>
      <c r="H24" s="25">
        <f t="shared" si="5"/>
        <v>0</v>
      </c>
      <c r="I24" s="25">
        <v>0.0</v>
      </c>
      <c r="J24" s="9">
        <f t="shared" si="6"/>
        <v>0</v>
      </c>
    </row>
    <row r="25" outlineLevel="1">
      <c r="A25" s="22" t="s">
        <v>41</v>
      </c>
      <c r="B25" s="17" t="s">
        <v>42</v>
      </c>
      <c r="C25" s="16" t="s">
        <v>34</v>
      </c>
      <c r="D25" s="23">
        <v>137.1</v>
      </c>
      <c r="E25" s="24">
        <v>685.5</v>
      </c>
      <c r="G25" s="16" t="str">
        <f t="shared" si="4"/>
        <v/>
      </c>
      <c r="H25" s="25">
        <f t="shared" si="5"/>
        <v>0</v>
      </c>
      <c r="I25" s="25">
        <v>0.0</v>
      </c>
      <c r="J25" s="9">
        <f t="shared" si="6"/>
        <v>0</v>
      </c>
    </row>
    <row r="26" outlineLevel="1">
      <c r="A26" s="22" t="s">
        <v>43</v>
      </c>
      <c r="B26" s="17" t="s">
        <v>44</v>
      </c>
      <c r="C26" s="16" t="s">
        <v>34</v>
      </c>
      <c r="D26" s="23">
        <v>239.7</v>
      </c>
      <c r="E26" s="24">
        <v>1198.5</v>
      </c>
      <c r="G26" t="str">
        <f t="shared" si="4"/>
        <v/>
      </c>
      <c r="H26" s="25">
        <f t="shared" si="5"/>
        <v>0</v>
      </c>
      <c r="I26" s="25">
        <v>0.0</v>
      </c>
      <c r="J26" s="9">
        <f t="shared" si="6"/>
        <v>0</v>
      </c>
    </row>
    <row r="27" outlineLevel="1">
      <c r="A27" s="22" t="s">
        <v>45</v>
      </c>
      <c r="B27" s="26" t="s">
        <v>46</v>
      </c>
      <c r="C27" s="16" t="s">
        <v>34</v>
      </c>
      <c r="D27" s="23">
        <v>123.1</v>
      </c>
      <c r="E27" s="24">
        <v>615.5</v>
      </c>
      <c r="F27" s="16"/>
      <c r="G27" t="str">
        <f t="shared" si="4"/>
        <v/>
      </c>
      <c r="H27" s="25">
        <f t="shared" si="5"/>
        <v>0</v>
      </c>
      <c r="I27" s="25">
        <v>0.0</v>
      </c>
      <c r="J27" s="9">
        <f t="shared" si="6"/>
        <v>0</v>
      </c>
    </row>
    <row r="28" outlineLevel="1">
      <c r="A28" s="22" t="s">
        <v>47</v>
      </c>
      <c r="B28" s="17" t="s">
        <v>48</v>
      </c>
      <c r="C28" s="16" t="s">
        <v>34</v>
      </c>
      <c r="D28" s="23">
        <v>197.6</v>
      </c>
      <c r="E28" s="24">
        <v>988.0</v>
      </c>
      <c r="F28" s="16"/>
      <c r="G28" t="str">
        <f t="shared" si="4"/>
        <v/>
      </c>
      <c r="H28" s="25">
        <f t="shared" si="5"/>
        <v>0</v>
      </c>
      <c r="I28" s="25">
        <v>0.0</v>
      </c>
      <c r="J28" s="9">
        <f t="shared" si="6"/>
        <v>0</v>
      </c>
    </row>
    <row r="29" outlineLevel="1">
      <c r="A29" s="22" t="s">
        <v>49</v>
      </c>
      <c r="B29" s="26" t="s">
        <v>50</v>
      </c>
      <c r="C29" s="16" t="s">
        <v>34</v>
      </c>
      <c r="D29" s="23">
        <v>149.0</v>
      </c>
      <c r="E29" s="24">
        <v>745.0</v>
      </c>
      <c r="F29" s="16"/>
      <c r="G29" t="str">
        <f t="shared" si="4"/>
        <v/>
      </c>
      <c r="H29" s="25">
        <f t="shared" si="5"/>
        <v>0</v>
      </c>
      <c r="I29" s="25">
        <v>0.0</v>
      </c>
      <c r="J29" s="9">
        <f t="shared" si="6"/>
        <v>0</v>
      </c>
    </row>
    <row r="30" outlineLevel="1">
      <c r="A30" s="22" t="s">
        <v>51</v>
      </c>
      <c r="B30" s="17" t="s">
        <v>52</v>
      </c>
      <c r="C30" s="16" t="s">
        <v>34</v>
      </c>
      <c r="D30" s="23">
        <v>181.4</v>
      </c>
      <c r="E30" s="24">
        <v>907.0</v>
      </c>
      <c r="F30" s="16">
        <v>1.0</v>
      </c>
      <c r="G30" t="str">
        <f t="shared" si="4"/>
        <v/>
      </c>
      <c r="H30" s="25">
        <f t="shared" si="5"/>
        <v>1</v>
      </c>
      <c r="I30" s="25">
        <v>0.0</v>
      </c>
      <c r="J30" s="9">
        <f t="shared" si="6"/>
        <v>181.4</v>
      </c>
    </row>
    <row r="31" outlineLevel="1">
      <c r="A31" s="22" t="s">
        <v>53</v>
      </c>
      <c r="B31" s="17" t="s">
        <v>54</v>
      </c>
      <c r="C31" s="16" t="s">
        <v>34</v>
      </c>
      <c r="D31" s="23">
        <v>302.4</v>
      </c>
      <c r="E31" s="24">
        <v>1512.0</v>
      </c>
      <c r="G31" t="str">
        <f t="shared" si="4"/>
        <v/>
      </c>
      <c r="H31" s="25">
        <f t="shared" si="5"/>
        <v>0</v>
      </c>
      <c r="I31" s="25">
        <v>0.0</v>
      </c>
      <c r="J31" s="9">
        <f t="shared" si="6"/>
        <v>0</v>
      </c>
    </row>
    <row r="32" outlineLevel="1">
      <c r="A32" s="22" t="s">
        <v>55</v>
      </c>
      <c r="B32" s="17" t="s">
        <v>56</v>
      </c>
      <c r="C32" s="16" t="s">
        <v>34</v>
      </c>
      <c r="D32" s="23">
        <v>106.9</v>
      </c>
      <c r="E32" s="24">
        <v>534.5</v>
      </c>
      <c r="G32" t="str">
        <f t="shared" si="4"/>
        <v/>
      </c>
      <c r="H32" s="25">
        <f t="shared" si="5"/>
        <v>0</v>
      </c>
      <c r="I32" s="25">
        <v>0.0</v>
      </c>
      <c r="J32" s="9">
        <f t="shared" si="6"/>
        <v>0</v>
      </c>
    </row>
    <row r="33" outlineLevel="1">
      <c r="A33" s="22" t="s">
        <v>57</v>
      </c>
      <c r="B33" s="17" t="s">
        <v>58</v>
      </c>
      <c r="C33" s="16" t="s">
        <v>34</v>
      </c>
      <c r="D33" s="23">
        <v>17.2</v>
      </c>
      <c r="E33" s="24">
        <v>86.0</v>
      </c>
      <c r="F33" s="16"/>
      <c r="G33" t="str">
        <f t="shared" si="4"/>
        <v/>
      </c>
      <c r="H33" s="25">
        <f t="shared" si="5"/>
        <v>0</v>
      </c>
      <c r="I33" s="25">
        <v>0.0</v>
      </c>
      <c r="J33" s="9">
        <f t="shared" si="6"/>
        <v>0</v>
      </c>
    </row>
    <row r="34" outlineLevel="1">
      <c r="A34" s="22" t="s">
        <v>59</v>
      </c>
      <c r="B34" s="17" t="s">
        <v>60</v>
      </c>
      <c r="C34" s="16" t="s">
        <v>34</v>
      </c>
      <c r="D34" s="23">
        <v>51.8</v>
      </c>
      <c r="E34" s="24">
        <v>259.0</v>
      </c>
      <c r="F34" s="16"/>
      <c r="G34" t="str">
        <f t="shared" si="4"/>
        <v/>
      </c>
      <c r="H34" s="25">
        <f t="shared" si="5"/>
        <v>0</v>
      </c>
      <c r="I34" s="25">
        <v>0.0</v>
      </c>
      <c r="J34" s="9">
        <f t="shared" si="6"/>
        <v>0</v>
      </c>
    </row>
    <row r="35" outlineLevel="1">
      <c r="A35" s="22" t="s">
        <v>61</v>
      </c>
      <c r="B35" s="17" t="s">
        <v>62</v>
      </c>
      <c r="C35" s="16" t="s">
        <v>34</v>
      </c>
      <c r="D35" s="23">
        <v>75.6</v>
      </c>
      <c r="E35" s="24">
        <v>378.0</v>
      </c>
      <c r="F35" s="16"/>
      <c r="G35" t="str">
        <f t="shared" si="4"/>
        <v/>
      </c>
      <c r="H35" s="25">
        <f t="shared" si="5"/>
        <v>0</v>
      </c>
      <c r="I35" s="25">
        <v>0.0</v>
      </c>
      <c r="J35" s="9">
        <f t="shared" si="6"/>
        <v>0</v>
      </c>
    </row>
    <row r="36" outlineLevel="1">
      <c r="A36" s="22" t="s">
        <v>63</v>
      </c>
      <c r="B36" s="17" t="s">
        <v>64</v>
      </c>
      <c r="C36" s="16" t="s">
        <v>34</v>
      </c>
      <c r="D36" s="23">
        <v>130.6</v>
      </c>
      <c r="E36" s="24">
        <v>653.0</v>
      </c>
      <c r="G36" t="str">
        <f t="shared" si="4"/>
        <v/>
      </c>
      <c r="H36" s="25">
        <f t="shared" si="5"/>
        <v>0</v>
      </c>
      <c r="I36" s="25">
        <v>0.0</v>
      </c>
      <c r="J36" s="9">
        <f t="shared" si="6"/>
        <v>0</v>
      </c>
    </row>
    <row r="37" outlineLevel="1">
      <c r="A37" s="22" t="s">
        <v>65</v>
      </c>
      <c r="B37" s="17" t="s">
        <v>66</v>
      </c>
      <c r="C37" s="16" t="s">
        <v>34</v>
      </c>
      <c r="D37" s="23">
        <v>58.3</v>
      </c>
      <c r="E37" s="24">
        <v>291.5</v>
      </c>
      <c r="G37" t="str">
        <f t="shared" si="4"/>
        <v/>
      </c>
      <c r="H37" s="25">
        <f t="shared" si="5"/>
        <v>0</v>
      </c>
      <c r="I37" s="25">
        <v>0.0</v>
      </c>
      <c r="J37" s="9">
        <f t="shared" si="6"/>
        <v>0</v>
      </c>
    </row>
    <row r="38" outlineLevel="1">
      <c r="A38" s="22" t="s">
        <v>67</v>
      </c>
      <c r="B38" s="17" t="s">
        <v>68</v>
      </c>
      <c r="C38" s="16" t="s">
        <v>34</v>
      </c>
      <c r="D38" s="23">
        <v>29.1</v>
      </c>
      <c r="E38" s="24">
        <v>145.5</v>
      </c>
      <c r="G38" t="str">
        <f t="shared" si="4"/>
        <v/>
      </c>
      <c r="H38" s="25">
        <f t="shared" si="5"/>
        <v>0</v>
      </c>
      <c r="I38" s="25">
        <v>0.0</v>
      </c>
      <c r="J38" s="9">
        <f t="shared" si="6"/>
        <v>0</v>
      </c>
    </row>
    <row r="39" outlineLevel="1">
      <c r="A39" s="22" t="s">
        <v>69</v>
      </c>
      <c r="B39" s="17" t="s">
        <v>70</v>
      </c>
      <c r="C39" s="16" t="s">
        <v>34</v>
      </c>
      <c r="D39" s="23">
        <v>15.1</v>
      </c>
      <c r="E39" s="24">
        <v>75.5</v>
      </c>
      <c r="F39" s="16"/>
      <c r="G39" t="str">
        <f t="shared" si="4"/>
        <v/>
      </c>
      <c r="H39" s="25">
        <f t="shared" si="5"/>
        <v>0</v>
      </c>
      <c r="I39" s="25">
        <v>0.0</v>
      </c>
      <c r="J39" s="9">
        <f t="shared" si="6"/>
        <v>0</v>
      </c>
    </row>
    <row r="40" outlineLevel="1">
      <c r="A40" s="22" t="s">
        <v>71</v>
      </c>
      <c r="B40" s="17" t="s">
        <v>72</v>
      </c>
      <c r="C40" s="16" t="s">
        <v>34</v>
      </c>
      <c r="D40" s="23">
        <v>90.7</v>
      </c>
      <c r="E40" s="24">
        <v>453.5</v>
      </c>
      <c r="G40" t="str">
        <f t="shared" si="4"/>
        <v/>
      </c>
      <c r="H40" s="25">
        <f t="shared" si="5"/>
        <v>0</v>
      </c>
      <c r="I40" s="25">
        <v>0.0</v>
      </c>
      <c r="J40" s="9">
        <f t="shared" si="6"/>
        <v>0</v>
      </c>
    </row>
    <row r="41">
      <c r="A41" s="22"/>
      <c r="B41" s="18"/>
      <c r="D41" s="9"/>
      <c r="E41" s="10"/>
      <c r="J41" s="9"/>
    </row>
    <row r="42" collapsed="1">
      <c r="A42" s="1" t="s">
        <v>73</v>
      </c>
      <c r="B42" s="2" t="s">
        <v>74</v>
      </c>
      <c r="C42" s="21"/>
      <c r="D42" s="19"/>
      <c r="E42" s="20"/>
      <c r="F42" s="21"/>
      <c r="G42" s="21"/>
      <c r="J42" s="19">
        <f>SUM(J43:J47)</f>
        <v>0</v>
      </c>
    </row>
    <row r="43" hidden="1" outlineLevel="1">
      <c r="A43" s="22" t="s">
        <v>75</v>
      </c>
      <c r="B43" s="17" t="s">
        <v>76</v>
      </c>
      <c r="C43" s="16" t="s">
        <v>34</v>
      </c>
      <c r="D43" s="23">
        <v>16.2</v>
      </c>
      <c r="E43" s="24">
        <v>81.0</v>
      </c>
      <c r="G43" s="25"/>
      <c r="H43" s="25">
        <f t="shared" ref="H43:H47" si="7">F43*G43</f>
        <v>0</v>
      </c>
      <c r="I43" s="25">
        <v>0.0</v>
      </c>
      <c r="J43" s="9">
        <f t="shared" ref="J43:J47" si="8">D43*H43+E43*I43</f>
        <v>0</v>
      </c>
    </row>
    <row r="44" hidden="1" outlineLevel="1">
      <c r="A44" s="22" t="s">
        <v>77</v>
      </c>
      <c r="B44" s="17" t="s">
        <v>78</v>
      </c>
      <c r="C44" s="16" t="s">
        <v>34</v>
      </c>
      <c r="D44" s="23">
        <v>21.6</v>
      </c>
      <c r="E44" s="24">
        <v>108.0</v>
      </c>
      <c r="G44" s="25"/>
      <c r="H44" s="25">
        <f t="shared" si="7"/>
        <v>0</v>
      </c>
      <c r="I44" s="25">
        <v>0.0</v>
      </c>
      <c r="J44" s="9">
        <f t="shared" si="8"/>
        <v>0</v>
      </c>
    </row>
    <row r="45" hidden="1" outlineLevel="1">
      <c r="A45" s="22" t="s">
        <v>79</v>
      </c>
      <c r="B45" s="17" t="s">
        <v>80</v>
      </c>
      <c r="C45" s="16" t="s">
        <v>34</v>
      </c>
      <c r="D45" s="23"/>
      <c r="E45" s="24">
        <v>11.8</v>
      </c>
      <c r="G45" s="25"/>
      <c r="H45" s="25">
        <f t="shared" si="7"/>
        <v>0</v>
      </c>
      <c r="I45" s="25">
        <v>0.0</v>
      </c>
      <c r="J45" s="9">
        <f t="shared" si="8"/>
        <v>0</v>
      </c>
    </row>
    <row r="46" hidden="1" outlineLevel="1">
      <c r="A46" s="22" t="s">
        <v>81</v>
      </c>
      <c r="B46" s="17" t="s">
        <v>82</v>
      </c>
      <c r="C46" s="16" t="s">
        <v>34</v>
      </c>
      <c r="D46" s="23">
        <v>33.4</v>
      </c>
      <c r="E46" s="24">
        <v>167.0</v>
      </c>
      <c r="G46" s="25"/>
      <c r="H46" s="25">
        <f t="shared" si="7"/>
        <v>0</v>
      </c>
      <c r="I46" s="25">
        <v>0.0</v>
      </c>
      <c r="J46" s="9">
        <f t="shared" si="8"/>
        <v>0</v>
      </c>
    </row>
    <row r="47" hidden="1" outlineLevel="1">
      <c r="A47" s="22" t="s">
        <v>83</v>
      </c>
      <c r="B47" s="17" t="s">
        <v>84</v>
      </c>
      <c r="C47" s="16" t="s">
        <v>34</v>
      </c>
      <c r="D47" s="23">
        <v>10.8</v>
      </c>
      <c r="E47" s="24">
        <v>54.0</v>
      </c>
      <c r="G47" s="25"/>
      <c r="H47" s="25">
        <f t="shared" si="7"/>
        <v>0</v>
      </c>
      <c r="I47" s="25">
        <v>0.0</v>
      </c>
      <c r="J47" s="9">
        <f t="shared" si="8"/>
        <v>0</v>
      </c>
    </row>
    <row r="48">
      <c r="A48" s="8"/>
      <c r="B48" s="18"/>
      <c r="D48" s="9"/>
      <c r="E48" s="10"/>
      <c r="J48" s="9"/>
    </row>
    <row r="49" collapsed="1">
      <c r="A49" s="1" t="s">
        <v>85</v>
      </c>
      <c r="B49" s="2" t="s">
        <v>86</v>
      </c>
      <c r="D49" s="19"/>
      <c r="E49" s="20"/>
      <c r="F49" s="21"/>
      <c r="G49" s="21"/>
      <c r="J49" s="19">
        <f>SUM(J50:J60)</f>
        <v>0</v>
      </c>
    </row>
    <row r="50" hidden="1" outlineLevel="1">
      <c r="A50" s="22" t="s">
        <v>87</v>
      </c>
      <c r="B50" s="16" t="s">
        <v>88</v>
      </c>
      <c r="C50" s="16" t="s">
        <v>34</v>
      </c>
      <c r="D50" s="23">
        <v>21.6</v>
      </c>
      <c r="E50" s="24">
        <v>108.0</v>
      </c>
      <c r="G50" s="25"/>
      <c r="H50" s="25">
        <f t="shared" ref="H50:H60" si="9">F50*G50</f>
        <v>0</v>
      </c>
      <c r="I50" s="25">
        <v>0.0</v>
      </c>
      <c r="J50" s="9">
        <f t="shared" ref="J50:J60" si="10">D50*H50+E50*I50</f>
        <v>0</v>
      </c>
    </row>
    <row r="51" hidden="1" outlineLevel="1">
      <c r="A51" s="22" t="s">
        <v>89</v>
      </c>
      <c r="B51" s="17" t="s">
        <v>90</v>
      </c>
      <c r="C51" s="16" t="s">
        <v>34</v>
      </c>
      <c r="D51" s="23">
        <v>29.1</v>
      </c>
      <c r="E51" s="24">
        <v>145.5</v>
      </c>
      <c r="G51" s="25"/>
      <c r="H51" s="25">
        <f t="shared" si="9"/>
        <v>0</v>
      </c>
      <c r="I51" s="25">
        <v>0.0</v>
      </c>
      <c r="J51" s="9">
        <f t="shared" si="10"/>
        <v>0</v>
      </c>
    </row>
    <row r="52" hidden="1" outlineLevel="1">
      <c r="A52" s="22" t="s">
        <v>91</v>
      </c>
      <c r="B52" s="17" t="s">
        <v>92</v>
      </c>
      <c r="C52" s="16" t="s">
        <v>34</v>
      </c>
      <c r="D52" s="23">
        <v>38.8</v>
      </c>
      <c r="E52" s="24">
        <v>194.0</v>
      </c>
      <c r="G52" s="25"/>
      <c r="H52" s="25">
        <f t="shared" si="9"/>
        <v>0</v>
      </c>
      <c r="I52" s="25">
        <v>0.0</v>
      </c>
      <c r="J52" s="9">
        <f t="shared" si="10"/>
        <v>0</v>
      </c>
    </row>
    <row r="53" hidden="1" outlineLevel="1">
      <c r="A53" s="22" t="s">
        <v>93</v>
      </c>
      <c r="B53" s="17" t="s">
        <v>94</v>
      </c>
      <c r="C53" s="16" t="s">
        <v>34</v>
      </c>
      <c r="D53" s="23">
        <v>51.8</v>
      </c>
      <c r="E53" s="24">
        <v>259.0</v>
      </c>
      <c r="G53" s="25"/>
      <c r="H53" s="25">
        <f t="shared" si="9"/>
        <v>0</v>
      </c>
      <c r="I53" s="25">
        <v>0.0</v>
      </c>
      <c r="J53" s="9">
        <f t="shared" si="10"/>
        <v>0</v>
      </c>
    </row>
    <row r="54" hidden="1" outlineLevel="1">
      <c r="A54" s="22" t="s">
        <v>95</v>
      </c>
      <c r="B54" s="17" t="s">
        <v>96</v>
      </c>
      <c r="C54" s="16" t="s">
        <v>34</v>
      </c>
      <c r="D54" s="23">
        <v>63.7</v>
      </c>
      <c r="E54" s="24">
        <v>318.5</v>
      </c>
      <c r="G54" s="25"/>
      <c r="H54" s="25">
        <f t="shared" si="9"/>
        <v>0</v>
      </c>
      <c r="I54" s="25">
        <v>0.0</v>
      </c>
      <c r="J54" s="9">
        <f t="shared" si="10"/>
        <v>0</v>
      </c>
    </row>
    <row r="55" hidden="1" outlineLevel="1">
      <c r="A55" s="22" t="s">
        <v>97</v>
      </c>
      <c r="B55" s="17" t="s">
        <v>98</v>
      </c>
      <c r="C55" s="16" t="s">
        <v>34</v>
      </c>
      <c r="D55" s="23">
        <v>75.6</v>
      </c>
      <c r="E55" s="24">
        <v>378.0</v>
      </c>
      <c r="G55" s="25"/>
      <c r="H55" s="25">
        <f t="shared" si="9"/>
        <v>0</v>
      </c>
      <c r="I55" s="25">
        <v>0.0</v>
      </c>
      <c r="J55" s="9">
        <f t="shared" si="10"/>
        <v>0</v>
      </c>
    </row>
    <row r="56" hidden="1" outlineLevel="1">
      <c r="A56" s="22" t="s">
        <v>99</v>
      </c>
      <c r="B56" s="17" t="s">
        <v>100</v>
      </c>
      <c r="C56" s="16" t="s">
        <v>34</v>
      </c>
      <c r="D56" s="23">
        <v>87.4</v>
      </c>
      <c r="E56" s="24">
        <v>437.0</v>
      </c>
      <c r="G56" s="25"/>
      <c r="H56" s="25">
        <f t="shared" si="9"/>
        <v>0</v>
      </c>
      <c r="I56" s="25">
        <v>0.0</v>
      </c>
      <c r="J56" s="9">
        <f t="shared" si="10"/>
        <v>0</v>
      </c>
    </row>
    <row r="57" hidden="1" outlineLevel="1">
      <c r="A57" s="22" t="s">
        <v>101</v>
      </c>
      <c r="B57" s="17" t="s">
        <v>102</v>
      </c>
      <c r="C57" s="16" t="s">
        <v>34</v>
      </c>
      <c r="D57" s="23">
        <v>110.1</v>
      </c>
      <c r="E57" s="24">
        <v>550.5</v>
      </c>
      <c r="G57" s="25"/>
      <c r="H57" s="25">
        <f t="shared" si="9"/>
        <v>0</v>
      </c>
      <c r="I57" s="25">
        <v>0.0</v>
      </c>
      <c r="J57" s="9">
        <f t="shared" si="10"/>
        <v>0</v>
      </c>
    </row>
    <row r="58" hidden="1" outlineLevel="1">
      <c r="A58" s="22" t="s">
        <v>103</v>
      </c>
      <c r="B58" s="17" t="s">
        <v>104</v>
      </c>
      <c r="C58" s="16" t="s">
        <v>34</v>
      </c>
      <c r="D58" s="23">
        <v>27.0</v>
      </c>
      <c r="E58" s="24">
        <v>135.0</v>
      </c>
      <c r="G58" s="25"/>
      <c r="H58" s="25">
        <f t="shared" si="9"/>
        <v>0</v>
      </c>
      <c r="I58" s="25">
        <v>0.0</v>
      </c>
      <c r="J58" s="9">
        <f t="shared" si="10"/>
        <v>0</v>
      </c>
    </row>
    <row r="59" hidden="1" outlineLevel="1">
      <c r="A59" s="22" t="s">
        <v>105</v>
      </c>
      <c r="B59" s="17" t="s">
        <v>106</v>
      </c>
      <c r="C59" s="16" t="s">
        <v>34</v>
      </c>
      <c r="D59" s="23">
        <v>110.1</v>
      </c>
      <c r="E59" s="24">
        <v>550.5</v>
      </c>
      <c r="G59" s="25"/>
      <c r="H59" s="25">
        <f t="shared" si="9"/>
        <v>0</v>
      </c>
      <c r="I59" s="25">
        <v>0.0</v>
      </c>
      <c r="J59" s="9">
        <f t="shared" si="10"/>
        <v>0</v>
      </c>
    </row>
    <row r="60" hidden="1" outlineLevel="1">
      <c r="A60" s="22" t="s">
        <v>107</v>
      </c>
      <c r="B60" s="17" t="s">
        <v>108</v>
      </c>
      <c r="C60" s="16" t="s">
        <v>34</v>
      </c>
      <c r="D60" s="23">
        <v>90.7</v>
      </c>
      <c r="E60" s="24">
        <v>453.5</v>
      </c>
      <c r="G60" s="25"/>
      <c r="H60" s="25">
        <f t="shared" si="9"/>
        <v>0</v>
      </c>
      <c r="I60" s="25">
        <v>0.0</v>
      </c>
      <c r="J60" s="9">
        <f t="shared" si="10"/>
        <v>0</v>
      </c>
    </row>
    <row r="61">
      <c r="A61" s="22"/>
      <c r="B61" s="18"/>
      <c r="D61" s="9"/>
      <c r="E61" s="10"/>
      <c r="J61" s="9"/>
    </row>
    <row r="62" collapsed="1">
      <c r="A62" s="1" t="s">
        <v>109</v>
      </c>
      <c r="B62" s="2" t="s">
        <v>110</v>
      </c>
      <c r="C62" s="3"/>
      <c r="D62" s="19"/>
      <c r="E62" s="20"/>
      <c r="F62" s="21"/>
      <c r="G62" s="21"/>
      <c r="J62" s="19">
        <f>SUM(J63:J64)</f>
        <v>0</v>
      </c>
    </row>
    <row r="63" hidden="1" outlineLevel="1">
      <c r="A63" s="22" t="s">
        <v>111</v>
      </c>
      <c r="B63" s="17" t="s">
        <v>112</v>
      </c>
      <c r="C63" s="16" t="s">
        <v>113</v>
      </c>
      <c r="D63" s="23">
        <v>4.3</v>
      </c>
      <c r="E63" s="10"/>
      <c r="F63" s="16"/>
      <c r="G63" s="25"/>
      <c r="I63" s="25">
        <v>0.0</v>
      </c>
      <c r="J63" s="9">
        <f t="shared" ref="J63:J64" si="11">D63*H63+E63*I63</f>
        <v>0</v>
      </c>
    </row>
    <row r="64" hidden="1" outlineLevel="1">
      <c r="A64" s="22" t="s">
        <v>114</v>
      </c>
      <c r="B64" s="17" t="s">
        <v>115</v>
      </c>
      <c r="C64" s="16" t="s">
        <v>113</v>
      </c>
      <c r="D64" s="23">
        <v>6.4</v>
      </c>
      <c r="E64" s="10"/>
      <c r="F64" s="16"/>
      <c r="G64" s="25"/>
      <c r="I64" s="25">
        <v>0.0</v>
      </c>
      <c r="J64" s="9">
        <f t="shared" si="11"/>
        <v>0</v>
      </c>
    </row>
    <row r="65">
      <c r="A65" s="8"/>
      <c r="B65" s="18"/>
      <c r="D65" s="9"/>
      <c r="E65" s="10"/>
      <c r="J65" s="9"/>
    </row>
    <row r="66" collapsed="1">
      <c r="A66" s="1" t="s">
        <v>116</v>
      </c>
      <c r="B66" s="2" t="s">
        <v>117</v>
      </c>
      <c r="C66" s="21"/>
      <c r="D66" s="19"/>
      <c r="E66" s="20"/>
      <c r="F66" s="21"/>
      <c r="G66" s="21"/>
      <c r="J66" s="19">
        <f>SUM(J67:J73)</f>
        <v>0</v>
      </c>
    </row>
    <row r="67" hidden="1" outlineLevel="1">
      <c r="A67" s="22" t="s">
        <v>118</v>
      </c>
      <c r="B67" s="16" t="s">
        <v>119</v>
      </c>
      <c r="C67" s="16" t="s">
        <v>120</v>
      </c>
      <c r="D67" s="9"/>
      <c r="E67" s="24"/>
      <c r="G67" s="16"/>
      <c r="H67" s="25">
        <f t="shared" ref="H67:H73" si="12">F67*G67</f>
        <v>0</v>
      </c>
      <c r="I67" s="25">
        <v>0.0</v>
      </c>
      <c r="J67" s="9">
        <f t="shared" ref="J67:J73" si="13">D67*H67+E67*I67</f>
        <v>0</v>
      </c>
    </row>
    <row r="68" hidden="1" outlineLevel="1">
      <c r="A68" s="22" t="s">
        <v>121</v>
      </c>
      <c r="B68" s="17" t="s">
        <v>122</v>
      </c>
      <c r="C68" s="16" t="s">
        <v>34</v>
      </c>
      <c r="D68" s="23">
        <v>37.8</v>
      </c>
      <c r="E68" s="24">
        <v>189.0</v>
      </c>
      <c r="G68" s="16"/>
      <c r="H68" s="25">
        <f t="shared" si="12"/>
        <v>0</v>
      </c>
      <c r="I68" s="25">
        <v>0.0</v>
      </c>
      <c r="J68" s="9">
        <f t="shared" si="13"/>
        <v>0</v>
      </c>
    </row>
    <row r="69" hidden="1" outlineLevel="1">
      <c r="A69" s="22" t="s">
        <v>123</v>
      </c>
      <c r="B69" s="17" t="s">
        <v>124</v>
      </c>
      <c r="C69" s="16" t="s">
        <v>34</v>
      </c>
      <c r="D69" s="23">
        <v>49.6</v>
      </c>
      <c r="E69" s="24">
        <v>248.0</v>
      </c>
      <c r="G69" s="16"/>
      <c r="H69" s="25">
        <f t="shared" si="12"/>
        <v>0</v>
      </c>
      <c r="I69" s="25">
        <v>0.0</v>
      </c>
      <c r="J69" s="9">
        <f t="shared" si="13"/>
        <v>0</v>
      </c>
    </row>
    <row r="70" hidden="1" outlineLevel="1">
      <c r="A70" s="22" t="s">
        <v>125</v>
      </c>
      <c r="B70" s="17" t="s">
        <v>126</v>
      </c>
      <c r="C70" s="16" t="s">
        <v>34</v>
      </c>
      <c r="D70" s="9"/>
      <c r="E70" s="24">
        <v>47.5</v>
      </c>
      <c r="G70" s="16"/>
      <c r="H70" s="25">
        <f t="shared" si="12"/>
        <v>0</v>
      </c>
      <c r="I70" s="25">
        <v>0.0</v>
      </c>
      <c r="J70" s="9">
        <f t="shared" si="13"/>
        <v>0</v>
      </c>
    </row>
    <row r="71" hidden="1" outlineLevel="1">
      <c r="A71" s="22" t="s">
        <v>127</v>
      </c>
      <c r="B71" s="17" t="s">
        <v>128</v>
      </c>
      <c r="C71" s="16" t="s">
        <v>34</v>
      </c>
      <c r="D71" s="9"/>
      <c r="E71" s="24">
        <v>65.8</v>
      </c>
      <c r="G71" s="16"/>
      <c r="H71" s="25">
        <f t="shared" si="12"/>
        <v>0</v>
      </c>
      <c r="I71" s="25">
        <v>0.0</v>
      </c>
      <c r="J71" s="9">
        <f t="shared" si="13"/>
        <v>0</v>
      </c>
    </row>
    <row r="72" hidden="1" outlineLevel="1">
      <c r="A72" s="22" t="s">
        <v>129</v>
      </c>
      <c r="B72" s="17" t="s">
        <v>130</v>
      </c>
      <c r="C72" s="16" t="s">
        <v>34</v>
      </c>
      <c r="D72" s="23">
        <v>38.8</v>
      </c>
      <c r="E72" s="24">
        <v>194.0</v>
      </c>
      <c r="G72" s="16"/>
      <c r="H72" s="25">
        <f t="shared" si="12"/>
        <v>0</v>
      </c>
      <c r="I72" s="25">
        <v>0.0</v>
      </c>
      <c r="J72" s="9">
        <f t="shared" si="13"/>
        <v>0</v>
      </c>
    </row>
    <row r="73" hidden="1" outlineLevel="1">
      <c r="A73" s="22" t="s">
        <v>131</v>
      </c>
      <c r="B73" s="17" t="s">
        <v>132</v>
      </c>
      <c r="C73" s="16" t="s">
        <v>34</v>
      </c>
      <c r="D73" s="23">
        <v>58.3</v>
      </c>
      <c r="E73" s="24">
        <v>291.5</v>
      </c>
      <c r="G73" s="16"/>
      <c r="H73" s="25">
        <f t="shared" si="12"/>
        <v>0</v>
      </c>
      <c r="I73" s="25">
        <v>0.0</v>
      </c>
      <c r="J73" s="9">
        <f t="shared" si="13"/>
        <v>0</v>
      </c>
    </row>
    <row r="74">
      <c r="A74" s="22"/>
      <c r="B74" s="18"/>
      <c r="D74" s="9"/>
      <c r="E74" s="10"/>
      <c r="J74" s="9"/>
    </row>
    <row r="75" collapsed="1">
      <c r="A75" s="1" t="s">
        <v>133</v>
      </c>
      <c r="B75" s="2" t="s">
        <v>134</v>
      </c>
      <c r="C75" s="3"/>
      <c r="D75" s="19"/>
      <c r="E75" s="20"/>
      <c r="F75" s="21"/>
      <c r="G75" s="21"/>
      <c r="J75" s="19">
        <f>SUM(J76:J78)</f>
        <v>0</v>
      </c>
    </row>
    <row r="76" hidden="1" outlineLevel="1">
      <c r="A76" s="22" t="s">
        <v>135</v>
      </c>
      <c r="B76" s="17" t="s">
        <v>136</v>
      </c>
      <c r="C76" s="16" t="s">
        <v>34</v>
      </c>
      <c r="D76" s="23">
        <v>19.4</v>
      </c>
      <c r="E76" s="24">
        <v>97.0</v>
      </c>
      <c r="G76" s="25"/>
      <c r="H76" s="25">
        <f t="shared" ref="H76:H78" si="14">F76*G76</f>
        <v>0</v>
      </c>
      <c r="I76" s="25">
        <v>0.0</v>
      </c>
      <c r="J76" s="9">
        <f t="shared" ref="J76:J78" si="15">D76*H76+E76*I76</f>
        <v>0</v>
      </c>
    </row>
    <row r="77" hidden="1" outlineLevel="1">
      <c r="A77" s="22" t="s">
        <v>137</v>
      </c>
      <c r="B77" s="17" t="s">
        <v>138</v>
      </c>
      <c r="C77" s="16" t="s">
        <v>34</v>
      </c>
      <c r="D77" s="23"/>
      <c r="E77" s="24">
        <v>25.9</v>
      </c>
      <c r="G77" s="25"/>
      <c r="H77" s="25">
        <f t="shared" si="14"/>
        <v>0</v>
      </c>
      <c r="I77" s="25">
        <v>0.0</v>
      </c>
      <c r="J77" s="9">
        <f t="shared" si="15"/>
        <v>0</v>
      </c>
    </row>
    <row r="78" hidden="1" outlineLevel="1">
      <c r="A78" s="22" t="s">
        <v>139</v>
      </c>
      <c r="B78" s="17" t="s">
        <v>140</v>
      </c>
      <c r="C78" s="16" t="s">
        <v>34</v>
      </c>
      <c r="D78" s="23"/>
      <c r="E78" s="24">
        <v>29.1</v>
      </c>
      <c r="G78" s="25"/>
      <c r="H78" s="25">
        <f t="shared" si="14"/>
        <v>0</v>
      </c>
      <c r="I78" s="25">
        <v>0.0</v>
      </c>
      <c r="J78" s="9">
        <f t="shared" si="15"/>
        <v>0</v>
      </c>
    </row>
    <row r="79">
      <c r="A79" s="22"/>
      <c r="B79" s="18"/>
      <c r="D79" s="9"/>
      <c r="E79" s="10"/>
      <c r="J79" s="9"/>
    </row>
    <row r="80" collapsed="1">
      <c r="A80" s="1" t="s">
        <v>141</v>
      </c>
      <c r="B80" s="2" t="s">
        <v>142</v>
      </c>
      <c r="C80" s="21"/>
      <c r="D80" s="19"/>
      <c r="E80" s="20"/>
      <c r="F80" s="21"/>
      <c r="G80" s="21"/>
      <c r="J80" s="19">
        <f>SUM(J81:J84)</f>
        <v>0</v>
      </c>
    </row>
    <row r="81" hidden="1" outlineLevel="1">
      <c r="A81" s="22" t="s">
        <v>143</v>
      </c>
      <c r="B81" s="17" t="s">
        <v>144</v>
      </c>
      <c r="C81" s="16" t="s">
        <v>34</v>
      </c>
      <c r="D81" s="23">
        <v>106.9</v>
      </c>
      <c r="E81" s="24">
        <v>534.5</v>
      </c>
      <c r="F81" s="16"/>
      <c r="G81" s="16"/>
      <c r="H81" s="25">
        <f t="shared" ref="H81:H84" si="16">F81*IF(G81&lt;&gt;"",G81,1)</f>
        <v>0</v>
      </c>
      <c r="I81" s="25">
        <v>0.0</v>
      </c>
      <c r="J81" s="9">
        <f t="shared" ref="J81:J84" si="17">D81*H81+E81*I81</f>
        <v>0</v>
      </c>
    </row>
    <row r="82" hidden="1" outlineLevel="1">
      <c r="A82" s="22" t="s">
        <v>145</v>
      </c>
      <c r="B82" s="17" t="s">
        <v>146</v>
      </c>
      <c r="C82" s="16" t="s">
        <v>34</v>
      </c>
      <c r="D82" s="23">
        <v>15.1</v>
      </c>
      <c r="E82" s="24">
        <v>75.5</v>
      </c>
      <c r="G82" s="25"/>
      <c r="H82" s="25">
        <f t="shared" si="16"/>
        <v>0</v>
      </c>
      <c r="I82" s="25">
        <v>0.0</v>
      </c>
      <c r="J82" s="9">
        <f t="shared" si="17"/>
        <v>0</v>
      </c>
    </row>
    <row r="83" hidden="1" outlineLevel="1">
      <c r="A83" s="22" t="s">
        <v>147</v>
      </c>
      <c r="B83" s="17" t="s">
        <v>148</v>
      </c>
      <c r="C83" s="16" t="s">
        <v>34</v>
      </c>
      <c r="D83" s="23">
        <v>38.8</v>
      </c>
      <c r="E83" s="24">
        <v>194.0</v>
      </c>
      <c r="G83" s="25"/>
      <c r="H83" s="25">
        <f t="shared" si="16"/>
        <v>0</v>
      </c>
      <c r="I83" s="25">
        <v>0.0</v>
      </c>
      <c r="J83" s="9">
        <f t="shared" si="17"/>
        <v>0</v>
      </c>
    </row>
    <row r="84" hidden="1" outlineLevel="1">
      <c r="A84" s="22" t="s">
        <v>149</v>
      </c>
      <c r="B84" s="17" t="s">
        <v>150</v>
      </c>
      <c r="C84" s="16" t="s">
        <v>34</v>
      </c>
      <c r="D84" s="23">
        <v>15.1</v>
      </c>
      <c r="E84" s="24">
        <v>75.5</v>
      </c>
      <c r="G84" s="25"/>
      <c r="H84" s="25">
        <f t="shared" si="16"/>
        <v>0</v>
      </c>
      <c r="I84" s="25">
        <v>0.0</v>
      </c>
      <c r="J84" s="9">
        <f t="shared" si="17"/>
        <v>0</v>
      </c>
    </row>
    <row r="85">
      <c r="A85" s="22"/>
      <c r="B85" s="18"/>
      <c r="D85" s="9"/>
      <c r="E85" s="24"/>
      <c r="J85" s="9"/>
    </row>
    <row r="86" collapsed="1">
      <c r="A86" s="1" t="s">
        <v>151</v>
      </c>
      <c r="B86" s="2" t="s">
        <v>152</v>
      </c>
      <c r="C86" s="21"/>
      <c r="D86" s="19"/>
      <c r="E86" s="20"/>
      <c r="F86" s="21"/>
      <c r="G86" s="21"/>
      <c r="J86" s="19">
        <f>SUM(J87:J90)</f>
        <v>0</v>
      </c>
    </row>
    <row r="87" hidden="1" outlineLevel="1">
      <c r="A87" s="22" t="s">
        <v>153</v>
      </c>
      <c r="B87" s="17" t="s">
        <v>154</v>
      </c>
      <c r="C87" s="16" t="s">
        <v>34</v>
      </c>
      <c r="D87" s="23"/>
      <c r="E87" s="24">
        <v>50.7</v>
      </c>
      <c r="F87" s="16"/>
      <c r="H87" s="25">
        <f t="shared" ref="H87:H90" si="18">F87*G87</f>
        <v>0</v>
      </c>
      <c r="I87" s="16">
        <v>0.0</v>
      </c>
      <c r="J87" s="9">
        <f t="shared" ref="J87:J90" si="19">D87*H87+E87*I87</f>
        <v>0</v>
      </c>
    </row>
    <row r="88" hidden="1" outlineLevel="1">
      <c r="A88" s="22" t="s">
        <v>155</v>
      </c>
      <c r="B88" s="17" t="s">
        <v>156</v>
      </c>
      <c r="C88" s="16" t="s">
        <v>34</v>
      </c>
      <c r="D88" s="23"/>
      <c r="E88" s="24">
        <v>75.6</v>
      </c>
      <c r="G88" s="25"/>
      <c r="H88" s="25">
        <f t="shared" si="18"/>
        <v>0</v>
      </c>
      <c r="I88" s="25">
        <v>0.0</v>
      </c>
      <c r="J88" s="9">
        <f t="shared" si="19"/>
        <v>0</v>
      </c>
    </row>
    <row r="89" hidden="1" outlineLevel="1">
      <c r="A89" s="22" t="s">
        <v>157</v>
      </c>
      <c r="B89" s="16" t="s">
        <v>158</v>
      </c>
      <c r="C89" s="16" t="s">
        <v>34</v>
      </c>
      <c r="D89" s="23">
        <v>21.6</v>
      </c>
      <c r="E89" s="24">
        <v>108.0</v>
      </c>
      <c r="G89" s="25"/>
      <c r="H89" s="25">
        <f t="shared" si="18"/>
        <v>0</v>
      </c>
      <c r="I89" s="25">
        <v>0.0</v>
      </c>
      <c r="J89" s="9">
        <f t="shared" si="19"/>
        <v>0</v>
      </c>
    </row>
    <row r="90" hidden="1" outlineLevel="1">
      <c r="A90" s="22" t="s">
        <v>159</v>
      </c>
      <c r="B90" s="17" t="s">
        <v>160</v>
      </c>
      <c r="C90" s="16" t="s">
        <v>34</v>
      </c>
      <c r="D90" s="23"/>
      <c r="E90" s="24">
        <v>144.7</v>
      </c>
      <c r="G90" s="25"/>
      <c r="H90" s="25">
        <f t="shared" si="18"/>
        <v>0</v>
      </c>
      <c r="I90" s="25">
        <v>0.0</v>
      </c>
      <c r="J90" s="9">
        <f t="shared" si="19"/>
        <v>0</v>
      </c>
    </row>
    <row r="91">
      <c r="A91" s="22"/>
      <c r="B91" s="18"/>
      <c r="D91" s="9"/>
      <c r="E91" s="10"/>
      <c r="J91" s="9"/>
    </row>
    <row r="92">
      <c r="A92" s="22"/>
      <c r="B92" s="18"/>
      <c r="D92" s="9"/>
      <c r="E92" s="10"/>
      <c r="J92" s="9"/>
    </row>
    <row r="93">
      <c r="A93" s="22"/>
      <c r="B93" s="2" t="s">
        <v>161</v>
      </c>
      <c r="D93" s="9"/>
      <c r="E93" s="10"/>
      <c r="J93" s="9"/>
    </row>
    <row r="94">
      <c r="A94" s="22"/>
      <c r="B94" s="2"/>
      <c r="D94" s="9"/>
      <c r="E94" s="10"/>
      <c r="J94" s="9"/>
    </row>
    <row r="95">
      <c r="A95" s="1" t="s">
        <v>162</v>
      </c>
      <c r="B95" s="2" t="s">
        <v>163</v>
      </c>
      <c r="C95" s="21"/>
      <c r="D95" s="19"/>
      <c r="E95" s="20"/>
      <c r="F95" s="21"/>
      <c r="G95" s="21"/>
      <c r="J95" s="19">
        <f>SUM(J96:J102)</f>
        <v>0</v>
      </c>
    </row>
    <row r="96" outlineLevel="1">
      <c r="A96" s="22" t="s">
        <v>164</v>
      </c>
      <c r="B96" s="17" t="s">
        <v>165</v>
      </c>
      <c r="C96" s="16" t="str">
        <f>"nach Aufwand, mind. "&amp;E96&amp; " €"</f>
        <v>nach Aufwand, mind. 55 €</v>
      </c>
      <c r="D96" s="9"/>
      <c r="E96" s="24">
        <v>55.0</v>
      </c>
      <c r="G96" s="25"/>
      <c r="H96" s="25">
        <f t="shared" ref="H96:H102" si="20">F96*G96</f>
        <v>0</v>
      </c>
      <c r="I96" s="25">
        <v>0.0</v>
      </c>
      <c r="J96" s="9">
        <f t="shared" ref="J96:J102" si="21">D96*H96+E96*I96</f>
        <v>0</v>
      </c>
    </row>
    <row r="97" outlineLevel="1">
      <c r="A97" s="22" t="s">
        <v>166</v>
      </c>
      <c r="B97" s="17" t="s">
        <v>167</v>
      </c>
      <c r="C97" s="16" t="s">
        <v>120</v>
      </c>
      <c r="D97" s="9"/>
      <c r="E97" s="10"/>
      <c r="G97" s="25"/>
      <c r="H97" s="25">
        <f t="shared" si="20"/>
        <v>0</v>
      </c>
      <c r="I97" s="25">
        <v>0.0</v>
      </c>
      <c r="J97" s="9">
        <f t="shared" si="21"/>
        <v>0</v>
      </c>
    </row>
    <row r="98" outlineLevel="1">
      <c r="A98" s="22" t="s">
        <v>168</v>
      </c>
      <c r="B98" s="17" t="s">
        <v>169</v>
      </c>
      <c r="C98" s="16" t="str">
        <f>"nach Aufwand, mind. "&amp;E98&amp; " €"</f>
        <v>nach Aufwand, mind. 72,3 €</v>
      </c>
      <c r="D98" s="9"/>
      <c r="E98" s="24">
        <v>72.3</v>
      </c>
      <c r="G98" s="25"/>
      <c r="H98" s="25">
        <f t="shared" si="20"/>
        <v>0</v>
      </c>
      <c r="I98" s="25">
        <v>0.0</v>
      </c>
      <c r="J98" s="9">
        <f t="shared" si="21"/>
        <v>0</v>
      </c>
    </row>
    <row r="99" outlineLevel="1">
      <c r="A99" s="22" t="s">
        <v>170</v>
      </c>
      <c r="B99" s="17" t="s">
        <v>171</v>
      </c>
      <c r="C99" s="16" t="str">
        <f>E99&amp;" € bzw. nach Aufwand"</f>
        <v>259,2 € bzw. nach Aufwand</v>
      </c>
      <c r="D99" s="9"/>
      <c r="E99" s="24">
        <v>259.2</v>
      </c>
      <c r="G99" s="25"/>
      <c r="H99" s="25">
        <f t="shared" si="20"/>
        <v>0</v>
      </c>
      <c r="I99" s="25">
        <v>0.0</v>
      </c>
      <c r="J99" s="9">
        <f t="shared" si="21"/>
        <v>0</v>
      </c>
    </row>
    <row r="100" outlineLevel="1">
      <c r="A100" s="22" t="s">
        <v>172</v>
      </c>
      <c r="B100" s="17" t="s">
        <v>173</v>
      </c>
      <c r="C100" s="16" t="str">
        <f t="shared" ref="C100:C102" si="22">E100&amp;" € je Fahrt bzw. nach Aufwand"</f>
        <v>73,4 € je Fahrt bzw. nach Aufwand</v>
      </c>
      <c r="D100" s="9"/>
      <c r="E100" s="24">
        <v>73.4</v>
      </c>
      <c r="G100" s="25"/>
      <c r="H100" s="25">
        <f t="shared" si="20"/>
        <v>0</v>
      </c>
      <c r="I100" s="25">
        <v>0.0</v>
      </c>
      <c r="J100" s="9">
        <f t="shared" si="21"/>
        <v>0</v>
      </c>
    </row>
    <row r="101" outlineLevel="1">
      <c r="A101" s="22" t="s">
        <v>174</v>
      </c>
      <c r="B101" s="17" t="s">
        <v>175</v>
      </c>
      <c r="C101" s="16" t="str">
        <f t="shared" si="22"/>
        <v>99,3 € je Fahrt bzw. nach Aufwand</v>
      </c>
      <c r="D101" s="9"/>
      <c r="E101" s="24">
        <v>99.3</v>
      </c>
      <c r="G101" s="25"/>
      <c r="H101" s="25">
        <f t="shared" si="20"/>
        <v>0</v>
      </c>
      <c r="I101" s="16">
        <v>0.0</v>
      </c>
      <c r="J101" s="9">
        <f t="shared" si="21"/>
        <v>0</v>
      </c>
    </row>
    <row r="102" outlineLevel="1">
      <c r="A102" s="22" t="s">
        <v>176</v>
      </c>
      <c r="B102" s="17" t="s">
        <v>177</v>
      </c>
      <c r="C102" s="16" t="str">
        <f t="shared" si="22"/>
        <v>129,6 € je Fahrt bzw. nach Aufwand</v>
      </c>
      <c r="D102" s="9"/>
      <c r="E102" s="24">
        <v>129.6</v>
      </c>
      <c r="G102" s="25"/>
      <c r="H102" s="25">
        <f t="shared" si="20"/>
        <v>0</v>
      </c>
      <c r="I102" s="25">
        <v>0.0</v>
      </c>
      <c r="J102" s="9">
        <f t="shared" si="21"/>
        <v>0</v>
      </c>
    </row>
    <row r="103">
      <c r="A103" s="22"/>
      <c r="B103" s="18"/>
      <c r="D103" s="9"/>
      <c r="E103" s="10"/>
      <c r="J103" s="9"/>
    </row>
    <row r="104">
      <c r="A104" s="22"/>
      <c r="B104" s="18"/>
      <c r="D104" s="9"/>
      <c r="E104" s="10"/>
      <c r="J104" s="9"/>
    </row>
    <row r="105">
      <c r="A105" s="22"/>
      <c r="B105" s="2" t="s">
        <v>178</v>
      </c>
      <c r="D105" s="9"/>
      <c r="E105" s="10"/>
      <c r="J105" s="9"/>
    </row>
    <row r="106">
      <c r="A106" s="22"/>
      <c r="B106" s="2"/>
      <c r="D106" s="9"/>
      <c r="E106" s="10"/>
      <c r="J106" s="9"/>
    </row>
    <row r="107" collapsed="1">
      <c r="A107" s="1" t="s">
        <v>179</v>
      </c>
      <c r="B107" s="2" t="s">
        <v>180</v>
      </c>
      <c r="C107" s="21"/>
      <c r="D107" s="19"/>
      <c r="E107" s="20"/>
      <c r="F107" s="21"/>
      <c r="G107" s="21"/>
      <c r="J107" s="19">
        <f>SUM(J108:J111)</f>
        <v>0</v>
      </c>
    </row>
    <row r="108" hidden="1" outlineLevel="1">
      <c r="A108" s="22" t="s">
        <v>181</v>
      </c>
      <c r="B108" s="17" t="s">
        <v>182</v>
      </c>
      <c r="C108" s="16" t="s">
        <v>183</v>
      </c>
      <c r="D108" s="9"/>
      <c r="E108" s="24">
        <v>112.3</v>
      </c>
      <c r="G108" s="25"/>
      <c r="H108">
        <f t="shared" ref="H108:H114" si="23">F108*G108</f>
        <v>0</v>
      </c>
      <c r="I108" s="25">
        <v>0.0</v>
      </c>
      <c r="J108" s="9">
        <f t="shared" ref="J108:J114" si="24">D108*H108+E108*I108</f>
        <v>0</v>
      </c>
    </row>
    <row r="109" hidden="1" outlineLevel="1">
      <c r="A109" s="22" t="s">
        <v>184</v>
      </c>
      <c r="B109" s="17" t="s">
        <v>185</v>
      </c>
      <c r="C109" s="16" t="s">
        <v>183</v>
      </c>
      <c r="D109" s="9"/>
      <c r="E109" s="24">
        <v>99.3</v>
      </c>
      <c r="G109" s="25"/>
      <c r="H109">
        <f t="shared" si="23"/>
        <v>0</v>
      </c>
      <c r="I109" s="25">
        <v>0.0</v>
      </c>
      <c r="J109" s="9">
        <f t="shared" si="24"/>
        <v>0</v>
      </c>
    </row>
    <row r="110" hidden="1" outlineLevel="1">
      <c r="A110" s="22" t="s">
        <v>186</v>
      </c>
      <c r="B110" s="17" t="s">
        <v>187</v>
      </c>
      <c r="C110" s="16" t="s">
        <v>188</v>
      </c>
      <c r="D110" s="9"/>
      <c r="E110" s="10"/>
      <c r="G110" s="25"/>
      <c r="H110">
        <f t="shared" si="23"/>
        <v>0</v>
      </c>
      <c r="I110" s="25">
        <v>0.0</v>
      </c>
      <c r="J110" s="9">
        <f t="shared" si="24"/>
        <v>0</v>
      </c>
    </row>
    <row r="111" hidden="1" outlineLevel="1">
      <c r="A111" s="22" t="s">
        <v>189</v>
      </c>
      <c r="B111" s="17" t="s">
        <v>190</v>
      </c>
      <c r="C111" s="16" t="s">
        <v>191</v>
      </c>
      <c r="D111" s="9"/>
      <c r="E111" s="24">
        <v>421.2</v>
      </c>
      <c r="G111" s="25"/>
      <c r="H111">
        <f t="shared" si="23"/>
        <v>0</v>
      </c>
      <c r="I111" s="25">
        <v>0.0</v>
      </c>
      <c r="J111" s="9">
        <f t="shared" si="24"/>
        <v>0</v>
      </c>
    </row>
    <row r="112" hidden="1" outlineLevel="1">
      <c r="A112" s="22" t="s">
        <v>192</v>
      </c>
      <c r="B112" s="17" t="s">
        <v>193</v>
      </c>
      <c r="D112" s="9"/>
      <c r="E112" s="24">
        <v>54.0</v>
      </c>
      <c r="G112" s="25"/>
      <c r="H112">
        <f t="shared" si="23"/>
        <v>0</v>
      </c>
      <c r="I112" s="25">
        <v>0.0</v>
      </c>
      <c r="J112" s="9">
        <f t="shared" si="24"/>
        <v>0</v>
      </c>
    </row>
    <row r="113" hidden="1" outlineLevel="1">
      <c r="A113" s="22" t="s">
        <v>194</v>
      </c>
      <c r="B113" s="17" t="s">
        <v>195</v>
      </c>
      <c r="D113" s="9"/>
      <c r="E113" s="24">
        <v>456.8</v>
      </c>
      <c r="G113" s="25"/>
      <c r="H113">
        <f t="shared" si="23"/>
        <v>0</v>
      </c>
      <c r="I113" s="25">
        <v>0.0</v>
      </c>
      <c r="J113" s="9">
        <f t="shared" si="24"/>
        <v>0</v>
      </c>
    </row>
    <row r="114" hidden="1" outlineLevel="1">
      <c r="A114" s="22" t="s">
        <v>196</v>
      </c>
      <c r="B114" s="17" t="s">
        <v>197</v>
      </c>
      <c r="C114" s="16" t="s">
        <v>198</v>
      </c>
      <c r="D114" s="23">
        <v>5.4</v>
      </c>
      <c r="E114" s="24">
        <v>21.6</v>
      </c>
      <c r="G114" s="25"/>
      <c r="H114">
        <f t="shared" si="23"/>
        <v>0</v>
      </c>
      <c r="I114" s="25">
        <v>0.0</v>
      </c>
      <c r="J114" s="9">
        <f t="shared" si="24"/>
        <v>0</v>
      </c>
    </row>
    <row r="115">
      <c r="A115" s="22"/>
      <c r="B115" s="17"/>
      <c r="C115" s="16"/>
      <c r="D115" s="9"/>
      <c r="E115" s="24"/>
      <c r="J115" s="9"/>
    </row>
    <row r="116">
      <c r="A116" s="22"/>
      <c r="B116" s="17"/>
      <c r="C116" s="16"/>
      <c r="D116" s="9"/>
      <c r="E116" s="24"/>
      <c r="J116" s="9"/>
    </row>
    <row r="117">
      <c r="A117" s="1"/>
      <c r="B117" s="2" t="s">
        <v>199</v>
      </c>
      <c r="C117" s="3"/>
      <c r="D117" s="19"/>
      <c r="E117" s="27"/>
      <c r="F117" s="21"/>
      <c r="G117" s="21"/>
      <c r="I117" s="21"/>
      <c r="J117" s="9"/>
    </row>
    <row r="118">
      <c r="A118" s="22"/>
      <c r="B118" s="17"/>
      <c r="C118" s="16"/>
      <c r="D118" s="9"/>
      <c r="E118" s="24"/>
      <c r="J118" s="9"/>
    </row>
    <row r="119">
      <c r="A119" s="1" t="s">
        <v>200</v>
      </c>
      <c r="B119" s="2" t="s">
        <v>201</v>
      </c>
      <c r="C119" s="3"/>
      <c r="D119" s="19"/>
      <c r="E119" s="27"/>
      <c r="F119" s="21"/>
      <c r="G119" s="21"/>
      <c r="I119" s="21"/>
      <c r="J119" s="19">
        <f>SUM(J120:J144)</f>
        <v>0</v>
      </c>
    </row>
    <row r="120" outlineLevel="1">
      <c r="A120" s="22" t="s">
        <v>202</v>
      </c>
      <c r="B120" s="17" t="s">
        <v>203</v>
      </c>
      <c r="C120" s="16" t="s">
        <v>204</v>
      </c>
      <c r="D120" s="23">
        <v>1.8</v>
      </c>
      <c r="E120" s="24"/>
      <c r="F120" s="16"/>
      <c r="G120" s="25"/>
      <c r="H120" s="25">
        <f t="shared" ref="H120:H144" si="25">F120*if(G120&lt;&gt;"",G120,1)</f>
        <v>0</v>
      </c>
      <c r="I120" s="25">
        <v>0.0</v>
      </c>
      <c r="J120" s="9">
        <f t="shared" ref="J120:J144" si="26">D120*H120+E120*I120</f>
        <v>0</v>
      </c>
    </row>
    <row r="121" outlineLevel="1">
      <c r="A121" s="22" t="s">
        <v>205</v>
      </c>
      <c r="B121" s="17" t="s">
        <v>206</v>
      </c>
      <c r="C121" s="16" t="s">
        <v>204</v>
      </c>
      <c r="D121" s="9"/>
      <c r="E121" s="24"/>
      <c r="G121" s="25"/>
      <c r="H121" s="25">
        <f t="shared" si="25"/>
        <v>0</v>
      </c>
      <c r="I121" s="25">
        <v>0.0</v>
      </c>
      <c r="J121" s="9">
        <f t="shared" si="26"/>
        <v>0</v>
      </c>
    </row>
    <row r="122" outlineLevel="1">
      <c r="A122" s="22" t="s">
        <v>207</v>
      </c>
      <c r="B122" s="17" t="s">
        <v>208</v>
      </c>
      <c r="C122" s="16" t="s">
        <v>204</v>
      </c>
      <c r="D122" s="9"/>
      <c r="E122" s="24"/>
      <c r="G122" s="25"/>
      <c r="H122" s="25">
        <f t="shared" si="25"/>
        <v>0</v>
      </c>
      <c r="I122" s="25">
        <v>0.0</v>
      </c>
      <c r="J122" s="9">
        <f t="shared" si="26"/>
        <v>0</v>
      </c>
    </row>
    <row r="123" outlineLevel="1">
      <c r="A123" s="22" t="s">
        <v>209</v>
      </c>
      <c r="B123" s="17" t="s">
        <v>210</v>
      </c>
      <c r="C123" s="16" t="s">
        <v>204</v>
      </c>
      <c r="D123" s="9"/>
      <c r="E123" s="10"/>
      <c r="G123" s="25"/>
      <c r="H123" s="25">
        <f t="shared" si="25"/>
        <v>0</v>
      </c>
      <c r="I123" s="25">
        <v>0.0</v>
      </c>
      <c r="J123" s="9">
        <f t="shared" si="26"/>
        <v>0</v>
      </c>
    </row>
    <row r="124" outlineLevel="1">
      <c r="A124" s="22" t="s">
        <v>211</v>
      </c>
      <c r="B124" s="17" t="s">
        <v>212</v>
      </c>
      <c r="C124" s="16" t="s">
        <v>213</v>
      </c>
      <c r="D124" s="23">
        <v>49.0</v>
      </c>
      <c r="E124" s="10"/>
      <c r="F124" s="16"/>
      <c r="G124" s="16"/>
      <c r="H124" s="25">
        <f t="shared" si="25"/>
        <v>0</v>
      </c>
      <c r="I124" s="25">
        <v>0.0</v>
      </c>
      <c r="J124" s="9">
        <f t="shared" si="26"/>
        <v>0</v>
      </c>
    </row>
    <row r="125" outlineLevel="1">
      <c r="A125" s="22" t="s">
        <v>214</v>
      </c>
      <c r="B125" s="17" t="s">
        <v>215</v>
      </c>
      <c r="C125" s="16" t="s">
        <v>216</v>
      </c>
      <c r="D125" s="23">
        <v>39.0</v>
      </c>
      <c r="E125" s="10"/>
      <c r="F125" s="16"/>
      <c r="G125" s="16"/>
      <c r="H125" s="25">
        <f t="shared" si="25"/>
        <v>0</v>
      </c>
      <c r="I125" s="25">
        <v>0.0</v>
      </c>
      <c r="J125" s="9">
        <f t="shared" si="26"/>
        <v>0</v>
      </c>
    </row>
    <row r="126" outlineLevel="1">
      <c r="A126" s="22" t="s">
        <v>217</v>
      </c>
      <c r="B126" s="17" t="s">
        <v>218</v>
      </c>
      <c r="C126" s="16" t="s">
        <v>216</v>
      </c>
      <c r="D126" s="23">
        <v>81.6</v>
      </c>
      <c r="E126" s="10"/>
      <c r="F126" s="16"/>
      <c r="G126" s="25"/>
      <c r="H126" s="25">
        <f t="shared" si="25"/>
        <v>0</v>
      </c>
      <c r="I126" s="25">
        <v>0.0</v>
      </c>
      <c r="J126" s="9">
        <f t="shared" si="26"/>
        <v>0</v>
      </c>
    </row>
    <row r="127" outlineLevel="1">
      <c r="A127" s="22" t="s">
        <v>219</v>
      </c>
      <c r="B127" s="17" t="s">
        <v>220</v>
      </c>
      <c r="C127" s="16" t="s">
        <v>216</v>
      </c>
      <c r="D127" s="23">
        <v>246.0</v>
      </c>
      <c r="E127" s="10"/>
      <c r="F127" s="16"/>
      <c r="G127" s="16"/>
      <c r="H127" s="25">
        <f t="shared" si="25"/>
        <v>0</v>
      </c>
      <c r="I127" s="25">
        <v>0.0</v>
      </c>
      <c r="J127" s="9">
        <f t="shared" si="26"/>
        <v>0</v>
      </c>
    </row>
    <row r="128" outlineLevel="1">
      <c r="A128" s="22" t="s">
        <v>221</v>
      </c>
      <c r="B128" s="17" t="s">
        <v>222</v>
      </c>
      <c r="C128" s="16" t="s">
        <v>216</v>
      </c>
      <c r="D128" s="23">
        <v>177.6</v>
      </c>
      <c r="E128" s="10"/>
      <c r="F128" s="16"/>
      <c r="G128" s="25"/>
      <c r="H128" s="25">
        <f t="shared" si="25"/>
        <v>0</v>
      </c>
      <c r="I128" s="25">
        <v>0.0</v>
      </c>
      <c r="J128" s="9">
        <f t="shared" si="26"/>
        <v>0</v>
      </c>
    </row>
    <row r="129" outlineLevel="1">
      <c r="A129" s="22" t="s">
        <v>223</v>
      </c>
      <c r="B129" s="28" t="s">
        <v>224</v>
      </c>
      <c r="C129" s="16" t="s">
        <v>216</v>
      </c>
      <c r="D129" s="23">
        <v>43.8</v>
      </c>
      <c r="E129" s="10"/>
      <c r="F129" s="16"/>
      <c r="G129" s="25"/>
      <c r="H129" s="25">
        <f t="shared" si="25"/>
        <v>0</v>
      </c>
      <c r="I129" s="25">
        <v>0.0</v>
      </c>
      <c r="J129" s="9">
        <f t="shared" si="26"/>
        <v>0</v>
      </c>
    </row>
    <row r="130" outlineLevel="1">
      <c r="A130" s="22" t="s">
        <v>225</v>
      </c>
      <c r="B130" s="17" t="s">
        <v>226</v>
      </c>
      <c r="C130" s="16" t="s">
        <v>216</v>
      </c>
      <c r="D130" s="23">
        <v>60.0</v>
      </c>
      <c r="E130" s="10"/>
      <c r="F130" s="16"/>
      <c r="G130" s="25"/>
      <c r="H130" s="25">
        <f t="shared" si="25"/>
        <v>0</v>
      </c>
      <c r="I130" s="25">
        <v>0.0</v>
      </c>
      <c r="J130" s="9">
        <f t="shared" si="26"/>
        <v>0</v>
      </c>
    </row>
    <row r="131" outlineLevel="1">
      <c r="A131" s="22" t="s">
        <v>227</v>
      </c>
      <c r="B131" s="17" t="s">
        <v>228</v>
      </c>
      <c r="C131" s="16" t="s">
        <v>216</v>
      </c>
      <c r="D131" s="23">
        <v>100.0</v>
      </c>
      <c r="E131" s="10"/>
      <c r="F131" s="16"/>
      <c r="G131" s="25"/>
      <c r="H131" s="25">
        <f t="shared" si="25"/>
        <v>0</v>
      </c>
      <c r="I131" s="25">
        <v>0.0</v>
      </c>
      <c r="J131" s="9">
        <f t="shared" si="26"/>
        <v>0</v>
      </c>
    </row>
    <row r="132" outlineLevel="1">
      <c r="A132" s="22" t="s">
        <v>229</v>
      </c>
      <c r="B132" s="17" t="s">
        <v>230</v>
      </c>
      <c r="C132" s="16" t="s">
        <v>216</v>
      </c>
      <c r="D132" s="23">
        <v>51.9</v>
      </c>
      <c r="E132" s="10"/>
      <c r="H132" s="25">
        <f t="shared" si="25"/>
        <v>0</v>
      </c>
      <c r="I132" s="25">
        <v>0.0</v>
      </c>
      <c r="J132" s="9">
        <f t="shared" si="26"/>
        <v>0</v>
      </c>
    </row>
    <row r="133" outlineLevel="1">
      <c r="A133" s="22" t="s">
        <v>231</v>
      </c>
      <c r="B133" s="17" t="s">
        <v>232</v>
      </c>
      <c r="C133" s="16" t="s">
        <v>216</v>
      </c>
      <c r="D133" s="23">
        <v>19.2</v>
      </c>
      <c r="E133" s="10"/>
      <c r="F133" s="16"/>
      <c r="G133" s="25"/>
      <c r="H133" s="25">
        <f t="shared" si="25"/>
        <v>0</v>
      </c>
      <c r="I133" s="25">
        <v>0.0</v>
      </c>
      <c r="J133" s="9">
        <f t="shared" si="26"/>
        <v>0</v>
      </c>
    </row>
    <row r="134" outlineLevel="1">
      <c r="A134" s="22" t="s">
        <v>233</v>
      </c>
      <c r="B134" s="17" t="s">
        <v>234</v>
      </c>
      <c r="C134" s="16" t="s">
        <v>216</v>
      </c>
      <c r="D134" s="23">
        <v>500.0</v>
      </c>
      <c r="E134" s="10"/>
      <c r="F134" s="16"/>
      <c r="G134" s="25"/>
      <c r="H134" s="25">
        <f t="shared" si="25"/>
        <v>0</v>
      </c>
      <c r="I134" s="25">
        <v>0.0</v>
      </c>
      <c r="J134" s="9">
        <f t="shared" si="26"/>
        <v>0</v>
      </c>
    </row>
    <row r="135" outlineLevel="1">
      <c r="A135" s="22" t="s">
        <v>235</v>
      </c>
      <c r="B135" s="17" t="s">
        <v>236</v>
      </c>
      <c r="C135" s="16" t="s">
        <v>216</v>
      </c>
      <c r="D135" s="23">
        <v>200.0</v>
      </c>
      <c r="E135" s="10"/>
      <c r="F135" s="16"/>
      <c r="G135" s="16"/>
      <c r="H135" s="25">
        <f t="shared" si="25"/>
        <v>0</v>
      </c>
      <c r="I135" s="25">
        <v>0.0</v>
      </c>
      <c r="J135" s="9">
        <f t="shared" si="26"/>
        <v>0</v>
      </c>
    </row>
    <row r="136" outlineLevel="1">
      <c r="A136" s="22" t="s">
        <v>237</v>
      </c>
      <c r="B136" s="17" t="s">
        <v>238</v>
      </c>
      <c r="C136" s="16" t="s">
        <v>216</v>
      </c>
      <c r="D136" s="23">
        <v>50.0</v>
      </c>
      <c r="E136" s="10"/>
      <c r="F136" s="16"/>
      <c r="G136" s="16"/>
      <c r="H136" s="25">
        <f t="shared" si="25"/>
        <v>0</v>
      </c>
      <c r="I136" s="25">
        <v>0.0</v>
      </c>
      <c r="J136" s="9">
        <f t="shared" si="26"/>
        <v>0</v>
      </c>
    </row>
    <row r="137" outlineLevel="1">
      <c r="A137" s="22" t="s">
        <v>239</v>
      </c>
      <c r="B137" s="29" t="s">
        <v>240</v>
      </c>
      <c r="C137" s="16" t="s">
        <v>216</v>
      </c>
      <c r="D137" s="30">
        <v>190.8</v>
      </c>
      <c r="E137" s="10"/>
      <c r="F137" s="16"/>
      <c r="G137" s="16"/>
      <c r="H137" s="25">
        <f t="shared" si="25"/>
        <v>0</v>
      </c>
      <c r="I137" s="25">
        <v>0.0</v>
      </c>
      <c r="J137" s="9">
        <f t="shared" si="26"/>
        <v>0</v>
      </c>
    </row>
    <row r="138" outlineLevel="1">
      <c r="A138" s="22" t="s">
        <v>241</v>
      </c>
      <c r="B138" s="29" t="s">
        <v>242</v>
      </c>
      <c r="C138" s="16" t="s">
        <v>216</v>
      </c>
      <c r="D138" s="30">
        <v>258.0</v>
      </c>
      <c r="E138" s="10"/>
      <c r="F138" s="16"/>
      <c r="G138" s="16"/>
      <c r="H138" s="25">
        <f t="shared" si="25"/>
        <v>0</v>
      </c>
      <c r="I138" s="25">
        <v>0.0</v>
      </c>
      <c r="J138" s="9">
        <f t="shared" si="26"/>
        <v>0</v>
      </c>
    </row>
    <row r="139" outlineLevel="1">
      <c r="A139" s="22" t="s">
        <v>243</v>
      </c>
      <c r="B139" s="29" t="s">
        <v>244</v>
      </c>
      <c r="C139" s="16" t="s">
        <v>216</v>
      </c>
      <c r="D139" s="30">
        <v>380.4</v>
      </c>
      <c r="E139" s="10"/>
      <c r="F139" s="16"/>
      <c r="G139" s="16"/>
      <c r="H139" s="25">
        <f t="shared" si="25"/>
        <v>0</v>
      </c>
      <c r="I139" s="25">
        <v>0.0</v>
      </c>
      <c r="J139" s="9">
        <f t="shared" si="26"/>
        <v>0</v>
      </c>
    </row>
    <row r="140" outlineLevel="1">
      <c r="A140" s="22" t="s">
        <v>245</v>
      </c>
      <c r="B140" s="31" t="s">
        <v>246</v>
      </c>
      <c r="C140" s="16" t="s">
        <v>216</v>
      </c>
      <c r="D140" s="32">
        <v>370.0</v>
      </c>
      <c r="E140" s="10"/>
      <c r="F140" s="16"/>
      <c r="G140" s="16"/>
      <c r="H140" s="25">
        <f t="shared" si="25"/>
        <v>0</v>
      </c>
      <c r="I140" s="25">
        <v>0.0</v>
      </c>
      <c r="J140" s="9">
        <f t="shared" si="26"/>
        <v>0</v>
      </c>
    </row>
    <row r="141" outlineLevel="1">
      <c r="A141" s="22" t="s">
        <v>247</v>
      </c>
      <c r="B141" s="31" t="s">
        <v>248</v>
      </c>
      <c r="C141" s="16" t="s">
        <v>216</v>
      </c>
      <c r="D141" s="32">
        <v>600.0</v>
      </c>
      <c r="E141" s="10"/>
      <c r="F141" s="16"/>
      <c r="G141" s="16"/>
      <c r="H141" s="25">
        <f t="shared" si="25"/>
        <v>0</v>
      </c>
      <c r="I141" s="25">
        <v>0.0</v>
      </c>
      <c r="J141" s="9">
        <f t="shared" si="26"/>
        <v>0</v>
      </c>
    </row>
    <row r="142" outlineLevel="1">
      <c r="A142" s="22" t="s">
        <v>249</v>
      </c>
      <c r="B142" s="31" t="s">
        <v>250</v>
      </c>
      <c r="C142" s="16" t="s">
        <v>216</v>
      </c>
      <c r="D142" s="32">
        <v>50.0</v>
      </c>
      <c r="E142" s="10"/>
      <c r="F142" s="16"/>
      <c r="G142" s="16"/>
      <c r="H142" s="25">
        <f t="shared" si="25"/>
        <v>0</v>
      </c>
      <c r="I142" s="25">
        <v>0.0</v>
      </c>
      <c r="J142" s="9">
        <f t="shared" si="26"/>
        <v>0</v>
      </c>
    </row>
    <row r="143" outlineLevel="1">
      <c r="A143" s="22" t="s">
        <v>251</v>
      </c>
      <c r="B143" s="31" t="s">
        <v>252</v>
      </c>
      <c r="C143" s="16" t="s">
        <v>253</v>
      </c>
      <c r="D143" s="32">
        <v>60.0</v>
      </c>
      <c r="E143" s="10"/>
      <c r="F143" s="16"/>
      <c r="G143" s="16"/>
      <c r="H143" s="25">
        <f t="shared" si="25"/>
        <v>0</v>
      </c>
      <c r="I143" s="25">
        <v>0.0</v>
      </c>
      <c r="J143" s="9">
        <f t="shared" si="26"/>
        <v>0</v>
      </c>
    </row>
    <row r="144" outlineLevel="1">
      <c r="A144" s="22" t="s">
        <v>254</v>
      </c>
      <c r="D144" s="32">
        <v>-2.5</v>
      </c>
      <c r="E144" s="10"/>
      <c r="F144" s="16"/>
      <c r="G144" s="25"/>
      <c r="H144" s="25">
        <f t="shared" si="25"/>
        <v>0</v>
      </c>
      <c r="I144" s="25">
        <v>0.0</v>
      </c>
      <c r="J144" s="9">
        <f t="shared" si="26"/>
        <v>0</v>
      </c>
    </row>
    <row r="145">
      <c r="A145" s="8"/>
      <c r="B145" s="18"/>
      <c r="D145" s="9"/>
      <c r="E145" s="10"/>
      <c r="J145" s="9"/>
    </row>
    <row r="146">
      <c r="A146" s="33"/>
      <c r="B146" s="34" t="s">
        <v>256</v>
      </c>
      <c r="C146" s="35"/>
      <c r="D146" s="36"/>
      <c r="E146" s="37"/>
      <c r="F146" s="35"/>
      <c r="G146" s="35"/>
      <c r="H146" s="35"/>
      <c r="I146" s="35"/>
      <c r="J146" s="36">
        <f>SUM(J14,J20,J42,J49,J62,J66,J75,J80,J95,J107,J119)</f>
        <v>439.5</v>
      </c>
    </row>
    <row r="147">
      <c r="A147" s="8"/>
      <c r="B147" s="18"/>
      <c r="D147" s="9"/>
      <c r="E147" s="10"/>
      <c r="J147" s="9"/>
    </row>
    <row r="148">
      <c r="A148" s="22"/>
      <c r="B148" s="17" t="s">
        <v>257</v>
      </c>
      <c r="D148" s="9"/>
      <c r="E148" s="10"/>
      <c r="F148" s="10"/>
      <c r="G148" s="10"/>
      <c r="H148" s="10"/>
      <c r="I148" s="10"/>
      <c r="J148" s="10"/>
    </row>
    <row r="149">
      <c r="A149" s="8"/>
      <c r="B149" s="38" t="s">
        <v>258</v>
      </c>
      <c r="D149" s="9"/>
      <c r="E149" s="10"/>
      <c r="F149" s="10"/>
      <c r="G149" s="10"/>
      <c r="H149" s="10"/>
      <c r="I149" s="10"/>
      <c r="J149" s="10"/>
    </row>
    <row r="150">
      <c r="A150" s="8"/>
      <c r="B150" s="18"/>
      <c r="D150" s="9"/>
      <c r="E150" s="10"/>
      <c r="J150" s="23"/>
    </row>
    <row r="151">
      <c r="A151" s="8"/>
      <c r="B151" s="18"/>
      <c r="D151" s="9"/>
      <c r="E151" s="10"/>
      <c r="J151" s="9"/>
    </row>
    <row r="152">
      <c r="A152" s="8"/>
      <c r="B152" s="17" t="s">
        <v>259</v>
      </c>
      <c r="E152" s="10"/>
    </row>
    <row r="153">
      <c r="A153" s="8"/>
      <c r="B153" s="17" t="s">
        <v>260</v>
      </c>
      <c r="E153" s="17"/>
      <c r="F153" s="17"/>
      <c r="G153" s="17"/>
      <c r="H153" s="17"/>
      <c r="I153" s="17"/>
      <c r="J153" s="9"/>
    </row>
    <row r="154">
      <c r="A154" s="8"/>
      <c r="B154" s="18"/>
      <c r="D154" s="9"/>
      <c r="E154" s="10"/>
      <c r="J154" s="9"/>
    </row>
    <row r="155">
      <c r="A155" s="8"/>
      <c r="B155" s="17" t="s">
        <v>261</v>
      </c>
      <c r="E155" s="10"/>
      <c r="J155" s="9"/>
    </row>
    <row r="156">
      <c r="A156" s="8"/>
      <c r="B156" s="39" t="s">
        <v>262</v>
      </c>
    </row>
    <row r="157">
      <c r="A157" s="8"/>
      <c r="B157" s="18"/>
      <c r="C157" s="17"/>
      <c r="D157" s="17"/>
      <c r="E157" s="17"/>
      <c r="F157" s="17"/>
      <c r="G157" s="17"/>
      <c r="H157" s="17"/>
      <c r="I157" s="17"/>
      <c r="J157" s="9"/>
    </row>
    <row r="158">
      <c r="A158" s="8"/>
      <c r="B158" s="18"/>
      <c r="D158" s="9"/>
      <c r="E158" s="10"/>
      <c r="J158" s="9"/>
    </row>
    <row r="159">
      <c r="A159" s="8"/>
      <c r="B159" s="18"/>
      <c r="D159" s="9"/>
      <c r="E159" s="10"/>
      <c r="J159" s="9"/>
    </row>
    <row r="160">
      <c r="A160" s="8"/>
      <c r="B160" s="18"/>
      <c r="D160" s="9"/>
      <c r="E160" s="10"/>
      <c r="J160" s="9"/>
    </row>
    <row r="161">
      <c r="A161" s="8"/>
      <c r="B161" s="18"/>
      <c r="D161" s="9"/>
      <c r="E161" s="10"/>
      <c r="J161" s="9"/>
    </row>
  </sheetData>
  <mergeCells count="12">
    <mergeCell ref="B152:D152"/>
    <mergeCell ref="E152:J152"/>
    <mergeCell ref="B153:D153"/>
    <mergeCell ref="B155:D155"/>
    <mergeCell ref="B156:J156"/>
    <mergeCell ref="C3:I3"/>
    <mergeCell ref="C4:I4"/>
    <mergeCell ref="C5:I5"/>
    <mergeCell ref="C7:I7"/>
    <mergeCell ref="C8:I8"/>
    <mergeCell ref="C9:I9"/>
    <mergeCell ref="C10:I10"/>
  </mergeCells>
  <dataValidations>
    <dataValidation type="list" allowBlank="1" sqref="C9">
      <formula1>"Bar - Betrag eingehoben,Kreditkarte - Betrag eingehoben,Rechnung - Betrag ausständig"</formula1>
    </dataValidation>
  </dataValidations>
  <hyperlinks>
    <hyperlink r:id="rId1" ref="B149"/>
    <hyperlink r:id="rId2" ref="B156"/>
  </hyperlinks>
  <printOptions horizontalCentered="1"/>
  <pageMargins bottom="0.75" footer="0.0" header="0.0" left="0.7" right="0.7" top="0.75"/>
  <pageSetup fitToHeight="0" paperSize="9" orientation="portrait" pageOrder="overThenDown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6.0"/>
    <col customWidth="1" min="2" max="2" width="34.63"/>
    <col customWidth="1" min="4" max="4" width="10.13"/>
    <col customWidth="1" min="5" max="5" width="10.25"/>
    <col customWidth="1" min="6" max="6" width="8.63"/>
    <col customWidth="1" min="7" max="7" width="6.88"/>
    <col customWidth="1" min="8" max="8" width="6.25"/>
    <col customWidth="1" min="9" max="9" width="8.63"/>
  </cols>
  <sheetData>
    <row r="1">
      <c r="A1" s="1"/>
      <c r="B1" s="2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7" t="s">
        <v>8</v>
      </c>
    </row>
    <row r="2">
      <c r="A2" s="8"/>
      <c r="B2" s="2"/>
      <c r="D2" s="9"/>
      <c r="E2" s="10"/>
      <c r="J2" s="9"/>
    </row>
    <row r="3">
      <c r="A3" s="8"/>
      <c r="B3" s="40" t="s">
        <v>9</v>
      </c>
      <c r="C3" s="41"/>
      <c r="D3" s="42"/>
      <c r="E3" s="42"/>
      <c r="F3" s="42"/>
      <c r="G3" s="42"/>
      <c r="H3" s="42"/>
      <c r="I3" s="43"/>
      <c r="J3" s="9"/>
    </row>
    <row r="4">
      <c r="A4" s="8"/>
      <c r="B4" s="40" t="s">
        <v>10</v>
      </c>
      <c r="C4" s="44"/>
      <c r="D4" s="42"/>
      <c r="E4" s="42"/>
      <c r="F4" s="42"/>
      <c r="G4" s="42"/>
      <c r="H4" s="42"/>
      <c r="I4" s="43"/>
      <c r="J4" s="9"/>
    </row>
    <row r="5">
      <c r="A5" s="8"/>
      <c r="B5" s="40" t="s">
        <v>11</v>
      </c>
      <c r="C5" s="41"/>
      <c r="D5" s="42"/>
      <c r="E5" s="42"/>
      <c r="F5" s="42"/>
      <c r="G5" s="42"/>
      <c r="H5" s="42"/>
      <c r="I5" s="43"/>
      <c r="J5" s="9"/>
    </row>
    <row r="6">
      <c r="A6" s="8"/>
      <c r="B6" s="40" t="s">
        <v>12</v>
      </c>
      <c r="C6" s="41"/>
      <c r="D6" s="42"/>
      <c r="E6" s="42"/>
      <c r="F6" s="42"/>
      <c r="G6" s="42"/>
      <c r="H6" s="42"/>
      <c r="I6" s="43"/>
      <c r="J6" s="9"/>
    </row>
    <row r="7">
      <c r="A7" s="8"/>
      <c r="B7" s="40" t="s">
        <v>13</v>
      </c>
      <c r="C7" s="45"/>
      <c r="D7" s="42"/>
      <c r="E7" s="42"/>
      <c r="F7" s="42"/>
      <c r="G7" s="42"/>
      <c r="H7" s="42"/>
      <c r="I7" s="43"/>
      <c r="J7" s="15"/>
    </row>
    <row r="8">
      <c r="A8" s="8"/>
      <c r="B8" s="40" t="s">
        <v>14</v>
      </c>
      <c r="C8" s="41"/>
      <c r="D8" s="42"/>
      <c r="E8" s="42"/>
      <c r="F8" s="42"/>
      <c r="G8" s="42"/>
      <c r="H8" s="42"/>
      <c r="I8" s="43"/>
      <c r="J8" s="9"/>
    </row>
    <row r="9">
      <c r="A9" s="8"/>
      <c r="B9" s="40" t="s">
        <v>15</v>
      </c>
      <c r="C9" s="41"/>
      <c r="D9" s="42"/>
      <c r="E9" s="42"/>
      <c r="F9" s="42"/>
      <c r="G9" s="42"/>
      <c r="H9" s="42"/>
      <c r="I9" s="43"/>
      <c r="J9" s="9"/>
    </row>
    <row r="10">
      <c r="A10" s="8"/>
      <c r="B10" s="40" t="s">
        <v>16</v>
      </c>
      <c r="C10" s="46"/>
      <c r="D10" s="42"/>
      <c r="E10" s="42"/>
      <c r="F10" s="42"/>
      <c r="G10" s="42"/>
      <c r="H10" s="42"/>
      <c r="I10" s="43"/>
      <c r="J10" s="9"/>
    </row>
    <row r="11">
      <c r="A11" s="8"/>
      <c r="B11" s="2"/>
      <c r="D11" s="9"/>
      <c r="E11" s="10"/>
      <c r="J11" s="9"/>
    </row>
    <row r="12">
      <c r="A12" s="8"/>
      <c r="B12" s="2" t="s">
        <v>17</v>
      </c>
      <c r="D12" s="9"/>
      <c r="E12" s="10"/>
      <c r="J12" s="9"/>
    </row>
    <row r="13">
      <c r="A13" s="8"/>
      <c r="B13" s="18"/>
      <c r="D13" s="9"/>
      <c r="E13" s="10"/>
      <c r="J13" s="9"/>
    </row>
    <row r="14">
      <c r="A14" s="47" t="s">
        <v>18</v>
      </c>
      <c r="B14" s="40" t="s">
        <v>19</v>
      </c>
      <c r="C14" s="48"/>
      <c r="D14" s="49"/>
      <c r="E14" s="50"/>
      <c r="F14" s="48"/>
      <c r="G14" s="48"/>
      <c r="H14" s="48"/>
      <c r="I14" s="51"/>
      <c r="J14" s="49"/>
    </row>
    <row r="15" outlineLevel="1">
      <c r="A15" s="52" t="s">
        <v>20</v>
      </c>
      <c r="B15" s="53" t="s">
        <v>21</v>
      </c>
      <c r="C15" s="54" t="s">
        <v>22</v>
      </c>
      <c r="D15" s="55">
        <v>32.4</v>
      </c>
      <c r="E15" s="56"/>
      <c r="F15" s="54"/>
      <c r="G15" s="54"/>
      <c r="H15" s="57"/>
      <c r="I15" s="57"/>
      <c r="J15" s="58"/>
    </row>
    <row r="16" outlineLevel="1">
      <c r="A16" s="52" t="s">
        <v>23</v>
      </c>
      <c r="B16" s="53" t="s">
        <v>24</v>
      </c>
      <c r="C16" s="54" t="s">
        <v>22</v>
      </c>
      <c r="D16" s="55">
        <v>32.4</v>
      </c>
      <c r="E16" s="56"/>
      <c r="F16" s="57"/>
      <c r="G16" s="57"/>
      <c r="H16" s="57"/>
      <c r="I16" s="57"/>
      <c r="J16" s="58"/>
    </row>
    <row r="17" outlineLevel="1">
      <c r="A17" s="52" t="s">
        <v>25</v>
      </c>
      <c r="B17" s="53" t="s">
        <v>26</v>
      </c>
      <c r="C17" s="54" t="s">
        <v>22</v>
      </c>
      <c r="D17" s="55">
        <v>105.8</v>
      </c>
      <c r="E17" s="56"/>
      <c r="F17" s="57"/>
      <c r="G17" s="57"/>
      <c r="H17" s="57"/>
      <c r="I17" s="57"/>
      <c r="J17" s="58"/>
    </row>
    <row r="18" outlineLevel="1">
      <c r="A18" s="52" t="s">
        <v>27</v>
      </c>
      <c r="B18" s="53" t="s">
        <v>28</v>
      </c>
      <c r="C18" s="54" t="s">
        <v>29</v>
      </c>
      <c r="D18" s="55">
        <v>0.42</v>
      </c>
      <c r="E18" s="56"/>
      <c r="F18" s="57"/>
      <c r="G18" s="57"/>
      <c r="H18" s="57"/>
      <c r="I18" s="57"/>
      <c r="J18" s="58"/>
    </row>
    <row r="19">
      <c r="A19" s="59"/>
      <c r="B19" s="60"/>
      <c r="C19" s="57"/>
      <c r="D19" s="58"/>
      <c r="E19" s="61"/>
      <c r="F19" s="57"/>
      <c r="G19" s="57"/>
      <c r="H19" s="57"/>
      <c r="I19" s="57"/>
      <c r="J19" s="58"/>
    </row>
    <row r="20">
      <c r="A20" s="47" t="s">
        <v>30</v>
      </c>
      <c r="B20" s="40" t="s">
        <v>31</v>
      </c>
      <c r="C20" s="51"/>
      <c r="D20" s="49"/>
      <c r="E20" s="50"/>
      <c r="F20" s="51"/>
      <c r="G20" s="51"/>
      <c r="H20" s="51"/>
      <c r="I20" s="51"/>
      <c r="J20" s="49"/>
    </row>
    <row r="21" outlineLevel="1">
      <c r="A21" s="52" t="s">
        <v>32</v>
      </c>
      <c r="B21" s="62" t="s">
        <v>33</v>
      </c>
      <c r="C21" s="54" t="s">
        <v>34</v>
      </c>
      <c r="D21" s="55">
        <v>63.7</v>
      </c>
      <c r="E21" s="56">
        <v>318.5</v>
      </c>
      <c r="F21" s="57"/>
      <c r="G21" s="63"/>
      <c r="H21" s="57"/>
      <c r="I21" s="57"/>
      <c r="J21" s="58"/>
    </row>
    <row r="22" outlineLevel="1">
      <c r="A22" s="52" t="s">
        <v>35</v>
      </c>
      <c r="B22" s="53" t="s">
        <v>36</v>
      </c>
      <c r="C22" s="54" t="s">
        <v>34</v>
      </c>
      <c r="D22" s="55">
        <v>90.7</v>
      </c>
      <c r="E22" s="56">
        <v>453.5</v>
      </c>
      <c r="F22" s="57"/>
      <c r="G22" s="54"/>
      <c r="H22" s="57"/>
      <c r="I22" s="57"/>
      <c r="J22" s="58"/>
    </row>
    <row r="23" outlineLevel="1">
      <c r="A23" s="52" t="s">
        <v>37</v>
      </c>
      <c r="B23" s="62" t="s">
        <v>38</v>
      </c>
      <c r="C23" s="54" t="s">
        <v>34</v>
      </c>
      <c r="D23" s="55">
        <v>106.9</v>
      </c>
      <c r="E23" s="56">
        <v>534.5</v>
      </c>
      <c r="F23" s="57"/>
      <c r="G23" s="54"/>
      <c r="H23" s="57"/>
      <c r="I23" s="57"/>
      <c r="J23" s="58"/>
    </row>
    <row r="24" outlineLevel="1">
      <c r="A24" s="52" t="s">
        <v>39</v>
      </c>
      <c r="B24" s="62" t="s">
        <v>40</v>
      </c>
      <c r="C24" s="54" t="s">
        <v>34</v>
      </c>
      <c r="D24" s="55">
        <v>122.0</v>
      </c>
      <c r="E24" s="56">
        <v>610.0</v>
      </c>
      <c r="F24" s="57"/>
      <c r="G24" s="63"/>
      <c r="H24" s="57"/>
      <c r="I24" s="57"/>
      <c r="J24" s="58"/>
    </row>
    <row r="25" outlineLevel="1">
      <c r="A25" s="52" t="s">
        <v>41</v>
      </c>
      <c r="B25" s="53" t="s">
        <v>42</v>
      </c>
      <c r="C25" s="54" t="s">
        <v>34</v>
      </c>
      <c r="D25" s="55">
        <v>137.1</v>
      </c>
      <c r="E25" s="56">
        <v>685.5</v>
      </c>
      <c r="F25" s="57"/>
      <c r="G25" s="63"/>
      <c r="H25" s="57"/>
      <c r="I25" s="57"/>
      <c r="J25" s="58"/>
    </row>
    <row r="26" outlineLevel="1">
      <c r="A26" s="52" t="s">
        <v>43</v>
      </c>
      <c r="B26" s="53" t="s">
        <v>44</v>
      </c>
      <c r="C26" s="54" t="s">
        <v>34</v>
      </c>
      <c r="D26" s="55">
        <v>239.7</v>
      </c>
      <c r="E26" s="56">
        <v>1198.5</v>
      </c>
      <c r="F26" s="57"/>
      <c r="G26" s="63"/>
      <c r="H26" s="57"/>
      <c r="I26" s="57"/>
      <c r="J26" s="58"/>
    </row>
    <row r="27" outlineLevel="1">
      <c r="A27" s="52" t="s">
        <v>45</v>
      </c>
      <c r="B27" s="62" t="s">
        <v>46</v>
      </c>
      <c r="C27" s="54" t="s">
        <v>34</v>
      </c>
      <c r="D27" s="55">
        <v>123.1</v>
      </c>
      <c r="E27" s="56">
        <v>615.5</v>
      </c>
      <c r="F27" s="57"/>
      <c r="G27" s="63"/>
      <c r="H27" s="57"/>
      <c r="I27" s="57"/>
      <c r="J27" s="58"/>
    </row>
    <row r="28" outlineLevel="1">
      <c r="A28" s="52" t="s">
        <v>47</v>
      </c>
      <c r="B28" s="53" t="s">
        <v>48</v>
      </c>
      <c r="C28" s="54" t="s">
        <v>34</v>
      </c>
      <c r="D28" s="55">
        <v>197.6</v>
      </c>
      <c r="E28" s="56">
        <v>988.0</v>
      </c>
      <c r="F28" s="57"/>
      <c r="G28" s="63"/>
      <c r="H28" s="57"/>
      <c r="I28" s="57"/>
      <c r="J28" s="58"/>
    </row>
    <row r="29" outlineLevel="1">
      <c r="A29" s="52" t="s">
        <v>49</v>
      </c>
      <c r="B29" s="62" t="s">
        <v>50</v>
      </c>
      <c r="C29" s="54" t="s">
        <v>34</v>
      </c>
      <c r="D29" s="55">
        <v>149.0</v>
      </c>
      <c r="E29" s="56">
        <v>745.0</v>
      </c>
      <c r="F29" s="57"/>
      <c r="G29" s="63"/>
      <c r="H29" s="57"/>
      <c r="I29" s="57"/>
      <c r="J29" s="58"/>
    </row>
    <row r="30" outlineLevel="1">
      <c r="A30" s="52" t="s">
        <v>51</v>
      </c>
      <c r="B30" s="53" t="s">
        <v>52</v>
      </c>
      <c r="C30" s="54" t="s">
        <v>34</v>
      </c>
      <c r="D30" s="55">
        <v>181.4</v>
      </c>
      <c r="E30" s="56">
        <v>907.0</v>
      </c>
      <c r="F30" s="57"/>
      <c r="G30" s="63"/>
      <c r="H30" s="57"/>
      <c r="I30" s="57"/>
      <c r="J30" s="58"/>
    </row>
    <row r="31" outlineLevel="1">
      <c r="A31" s="52" t="s">
        <v>53</v>
      </c>
      <c r="B31" s="53" t="s">
        <v>54</v>
      </c>
      <c r="C31" s="54" t="s">
        <v>34</v>
      </c>
      <c r="D31" s="55">
        <v>302.4</v>
      </c>
      <c r="E31" s="56">
        <v>1512.0</v>
      </c>
      <c r="F31" s="57"/>
      <c r="G31" s="63"/>
      <c r="H31" s="57"/>
      <c r="I31" s="57"/>
      <c r="J31" s="58"/>
    </row>
    <row r="32" outlineLevel="1">
      <c r="A32" s="52" t="s">
        <v>55</v>
      </c>
      <c r="B32" s="53" t="s">
        <v>56</v>
      </c>
      <c r="C32" s="54" t="s">
        <v>34</v>
      </c>
      <c r="D32" s="55">
        <v>106.9</v>
      </c>
      <c r="E32" s="56">
        <v>534.5</v>
      </c>
      <c r="F32" s="57"/>
      <c r="G32" s="63"/>
      <c r="H32" s="57"/>
      <c r="I32" s="57"/>
      <c r="J32" s="58"/>
    </row>
    <row r="33" outlineLevel="1">
      <c r="A33" s="52" t="s">
        <v>57</v>
      </c>
      <c r="B33" s="53" t="s">
        <v>58</v>
      </c>
      <c r="C33" s="54" t="s">
        <v>34</v>
      </c>
      <c r="D33" s="55">
        <v>17.2</v>
      </c>
      <c r="E33" s="56">
        <v>86.0</v>
      </c>
      <c r="F33" s="57"/>
      <c r="G33" s="63"/>
      <c r="H33" s="57"/>
      <c r="I33" s="57"/>
      <c r="J33" s="58"/>
    </row>
    <row r="34" outlineLevel="1">
      <c r="A34" s="52" t="s">
        <v>59</v>
      </c>
      <c r="B34" s="53" t="s">
        <v>60</v>
      </c>
      <c r="C34" s="54" t="s">
        <v>34</v>
      </c>
      <c r="D34" s="55">
        <v>51.8</v>
      </c>
      <c r="E34" s="56">
        <v>259.0</v>
      </c>
      <c r="F34" s="57"/>
      <c r="G34" s="63"/>
      <c r="H34" s="57"/>
      <c r="I34" s="57"/>
      <c r="J34" s="58"/>
    </row>
    <row r="35" outlineLevel="1">
      <c r="A35" s="52" t="s">
        <v>61</v>
      </c>
      <c r="B35" s="53" t="s">
        <v>62</v>
      </c>
      <c r="C35" s="54" t="s">
        <v>34</v>
      </c>
      <c r="D35" s="55">
        <v>75.6</v>
      </c>
      <c r="E35" s="56">
        <v>378.0</v>
      </c>
      <c r="F35" s="57"/>
      <c r="G35" s="63"/>
      <c r="H35" s="57"/>
      <c r="I35" s="57"/>
      <c r="J35" s="58"/>
    </row>
    <row r="36" outlineLevel="1">
      <c r="A36" s="52" t="s">
        <v>63</v>
      </c>
      <c r="B36" s="53" t="s">
        <v>64</v>
      </c>
      <c r="C36" s="54" t="s">
        <v>34</v>
      </c>
      <c r="D36" s="55">
        <v>130.6</v>
      </c>
      <c r="E36" s="56">
        <v>653.0</v>
      </c>
      <c r="F36" s="57"/>
      <c r="G36" s="63"/>
      <c r="H36" s="57"/>
      <c r="I36" s="57"/>
      <c r="J36" s="58"/>
    </row>
    <row r="37" outlineLevel="1">
      <c r="A37" s="52" t="s">
        <v>65</v>
      </c>
      <c r="B37" s="53" t="s">
        <v>66</v>
      </c>
      <c r="C37" s="54" t="s">
        <v>34</v>
      </c>
      <c r="D37" s="55">
        <v>58.3</v>
      </c>
      <c r="E37" s="56">
        <v>291.5</v>
      </c>
      <c r="F37" s="57"/>
      <c r="G37" s="63"/>
      <c r="H37" s="57"/>
      <c r="I37" s="57"/>
      <c r="J37" s="58"/>
    </row>
    <row r="38" outlineLevel="1">
      <c r="A38" s="52" t="s">
        <v>67</v>
      </c>
      <c r="B38" s="53" t="s">
        <v>68</v>
      </c>
      <c r="C38" s="54" t="s">
        <v>34</v>
      </c>
      <c r="D38" s="55">
        <v>29.1</v>
      </c>
      <c r="E38" s="56">
        <v>145.5</v>
      </c>
      <c r="F38" s="57"/>
      <c r="G38" s="63"/>
      <c r="H38" s="57"/>
      <c r="I38" s="57"/>
      <c r="J38" s="58"/>
    </row>
    <row r="39" outlineLevel="1">
      <c r="A39" s="52" t="s">
        <v>69</v>
      </c>
      <c r="B39" s="53" t="s">
        <v>70</v>
      </c>
      <c r="C39" s="54" t="s">
        <v>34</v>
      </c>
      <c r="D39" s="55">
        <v>15.1</v>
      </c>
      <c r="E39" s="56">
        <v>75.5</v>
      </c>
      <c r="F39" s="57"/>
      <c r="G39" s="63"/>
      <c r="H39" s="57"/>
      <c r="I39" s="57"/>
      <c r="J39" s="58"/>
    </row>
    <row r="40" outlineLevel="1">
      <c r="A40" s="52" t="s">
        <v>71</v>
      </c>
      <c r="B40" s="53" t="s">
        <v>72</v>
      </c>
      <c r="C40" s="54" t="s">
        <v>34</v>
      </c>
      <c r="D40" s="55">
        <v>90.7</v>
      </c>
      <c r="E40" s="56">
        <v>453.5</v>
      </c>
      <c r="F40" s="57"/>
      <c r="G40" s="63"/>
      <c r="H40" s="57"/>
      <c r="I40" s="57"/>
      <c r="J40" s="58"/>
    </row>
    <row r="41">
      <c r="A41" s="52"/>
      <c r="B41" s="60"/>
      <c r="C41" s="57"/>
      <c r="D41" s="58"/>
      <c r="E41" s="61"/>
      <c r="F41" s="57"/>
      <c r="G41" s="57"/>
      <c r="H41" s="57"/>
      <c r="I41" s="57"/>
      <c r="J41" s="58"/>
    </row>
    <row r="42">
      <c r="A42" s="47" t="s">
        <v>73</v>
      </c>
      <c r="B42" s="40" t="s">
        <v>74</v>
      </c>
      <c r="C42" s="51"/>
      <c r="D42" s="49"/>
      <c r="E42" s="50"/>
      <c r="F42" s="51"/>
      <c r="G42" s="51"/>
      <c r="H42" s="57"/>
      <c r="I42" s="57"/>
      <c r="J42" s="49"/>
    </row>
    <row r="43" outlineLevel="1">
      <c r="A43" s="52" t="s">
        <v>75</v>
      </c>
      <c r="B43" s="53" t="s">
        <v>76</v>
      </c>
      <c r="C43" s="54" t="s">
        <v>34</v>
      </c>
      <c r="D43" s="55">
        <v>16.2</v>
      </c>
      <c r="E43" s="56">
        <v>81.0</v>
      </c>
      <c r="F43" s="57"/>
      <c r="G43" s="63"/>
      <c r="H43" s="57"/>
      <c r="I43" s="57"/>
      <c r="J43" s="58"/>
    </row>
    <row r="44" outlineLevel="1">
      <c r="A44" s="52" t="s">
        <v>77</v>
      </c>
      <c r="B44" s="53" t="s">
        <v>78</v>
      </c>
      <c r="C44" s="54" t="s">
        <v>34</v>
      </c>
      <c r="D44" s="55">
        <v>21.6</v>
      </c>
      <c r="E44" s="56">
        <v>108.0</v>
      </c>
      <c r="F44" s="57"/>
      <c r="G44" s="63"/>
      <c r="H44" s="57"/>
      <c r="I44" s="57"/>
      <c r="J44" s="58"/>
    </row>
    <row r="45" outlineLevel="1">
      <c r="A45" s="52" t="s">
        <v>79</v>
      </c>
      <c r="B45" s="53" t="s">
        <v>80</v>
      </c>
      <c r="C45" s="54" t="s">
        <v>34</v>
      </c>
      <c r="D45" s="55"/>
      <c r="E45" s="56">
        <v>11.8</v>
      </c>
      <c r="F45" s="57"/>
      <c r="G45" s="63"/>
      <c r="H45" s="57"/>
      <c r="I45" s="57"/>
      <c r="J45" s="58"/>
    </row>
    <row r="46" outlineLevel="1">
      <c r="A46" s="52" t="s">
        <v>81</v>
      </c>
      <c r="B46" s="53" t="s">
        <v>82</v>
      </c>
      <c r="C46" s="54" t="s">
        <v>34</v>
      </c>
      <c r="D46" s="55">
        <v>33.4</v>
      </c>
      <c r="E46" s="56">
        <v>167.0</v>
      </c>
      <c r="F46" s="57"/>
      <c r="G46" s="63"/>
      <c r="H46" s="57"/>
      <c r="I46" s="57"/>
      <c r="J46" s="58"/>
    </row>
    <row r="47" outlineLevel="1">
      <c r="A47" s="52" t="s">
        <v>83</v>
      </c>
      <c r="B47" s="53" t="s">
        <v>84</v>
      </c>
      <c r="C47" s="54" t="s">
        <v>34</v>
      </c>
      <c r="D47" s="55">
        <v>10.8</v>
      </c>
      <c r="E47" s="56">
        <v>54.0</v>
      </c>
      <c r="F47" s="57"/>
      <c r="G47" s="63"/>
      <c r="H47" s="57"/>
      <c r="I47" s="57"/>
      <c r="J47" s="58"/>
    </row>
    <row r="48">
      <c r="A48" s="59"/>
      <c r="B48" s="60"/>
      <c r="C48" s="57"/>
      <c r="D48" s="58"/>
      <c r="E48" s="61"/>
      <c r="F48" s="57"/>
      <c r="G48" s="57"/>
      <c r="H48" s="57"/>
      <c r="I48" s="57"/>
      <c r="J48" s="58"/>
    </row>
    <row r="49">
      <c r="A49" s="47" t="s">
        <v>85</v>
      </c>
      <c r="B49" s="40" t="s">
        <v>86</v>
      </c>
      <c r="C49" s="57"/>
      <c r="D49" s="49"/>
      <c r="E49" s="50"/>
      <c r="F49" s="51"/>
      <c r="G49" s="51"/>
      <c r="H49" s="57"/>
      <c r="I49" s="57"/>
      <c r="J49" s="49"/>
    </row>
    <row r="50" outlineLevel="1">
      <c r="A50" s="52" t="s">
        <v>87</v>
      </c>
      <c r="B50" s="54" t="s">
        <v>88</v>
      </c>
      <c r="C50" s="54" t="s">
        <v>34</v>
      </c>
      <c r="D50" s="55">
        <v>21.6</v>
      </c>
      <c r="E50" s="56">
        <v>108.0</v>
      </c>
      <c r="F50" s="57"/>
      <c r="G50" s="63"/>
      <c r="H50" s="57"/>
      <c r="I50" s="57"/>
      <c r="J50" s="58"/>
    </row>
    <row r="51" outlineLevel="1">
      <c r="A51" s="52" t="s">
        <v>89</v>
      </c>
      <c r="B51" s="53" t="s">
        <v>90</v>
      </c>
      <c r="C51" s="54" t="s">
        <v>34</v>
      </c>
      <c r="D51" s="55">
        <v>29.1</v>
      </c>
      <c r="E51" s="56">
        <v>145.5</v>
      </c>
      <c r="F51" s="57"/>
      <c r="G51" s="63"/>
      <c r="H51" s="57"/>
      <c r="I51" s="57"/>
      <c r="J51" s="58"/>
    </row>
    <row r="52" outlineLevel="1">
      <c r="A52" s="52" t="s">
        <v>91</v>
      </c>
      <c r="B52" s="53" t="s">
        <v>92</v>
      </c>
      <c r="C52" s="54" t="s">
        <v>34</v>
      </c>
      <c r="D52" s="55">
        <v>38.8</v>
      </c>
      <c r="E52" s="56">
        <v>194.0</v>
      </c>
      <c r="F52" s="57"/>
      <c r="G52" s="63"/>
      <c r="H52" s="57"/>
      <c r="I52" s="57"/>
      <c r="J52" s="58"/>
    </row>
    <row r="53" outlineLevel="1">
      <c r="A53" s="52" t="s">
        <v>93</v>
      </c>
      <c r="B53" s="53" t="s">
        <v>94</v>
      </c>
      <c r="C53" s="54" t="s">
        <v>34</v>
      </c>
      <c r="D53" s="55">
        <v>51.8</v>
      </c>
      <c r="E53" s="56">
        <v>259.0</v>
      </c>
      <c r="F53" s="57"/>
      <c r="G53" s="63"/>
      <c r="H53" s="57"/>
      <c r="I53" s="57"/>
      <c r="J53" s="58"/>
    </row>
    <row r="54" outlineLevel="1">
      <c r="A54" s="52" t="s">
        <v>95</v>
      </c>
      <c r="B54" s="53" t="s">
        <v>96</v>
      </c>
      <c r="C54" s="54" t="s">
        <v>34</v>
      </c>
      <c r="D54" s="55">
        <v>63.7</v>
      </c>
      <c r="E54" s="56">
        <v>318.5</v>
      </c>
      <c r="F54" s="57"/>
      <c r="G54" s="63"/>
      <c r="H54" s="57"/>
      <c r="I54" s="57"/>
      <c r="J54" s="58"/>
    </row>
    <row r="55" outlineLevel="1">
      <c r="A55" s="52" t="s">
        <v>97</v>
      </c>
      <c r="B55" s="53" t="s">
        <v>98</v>
      </c>
      <c r="C55" s="54" t="s">
        <v>34</v>
      </c>
      <c r="D55" s="55">
        <v>75.6</v>
      </c>
      <c r="E55" s="56">
        <v>378.0</v>
      </c>
      <c r="F55" s="57"/>
      <c r="G55" s="63"/>
      <c r="H55" s="57"/>
      <c r="I55" s="57"/>
      <c r="J55" s="58"/>
    </row>
    <row r="56" outlineLevel="1">
      <c r="A56" s="52" t="s">
        <v>99</v>
      </c>
      <c r="B56" s="53" t="s">
        <v>100</v>
      </c>
      <c r="C56" s="54" t="s">
        <v>34</v>
      </c>
      <c r="D56" s="55">
        <v>87.4</v>
      </c>
      <c r="E56" s="56">
        <v>437.0</v>
      </c>
      <c r="F56" s="57"/>
      <c r="G56" s="63"/>
      <c r="H56" s="57"/>
      <c r="I56" s="57"/>
      <c r="J56" s="58"/>
    </row>
    <row r="57" outlineLevel="1">
      <c r="A57" s="52" t="s">
        <v>101</v>
      </c>
      <c r="B57" s="53" t="s">
        <v>102</v>
      </c>
      <c r="C57" s="54" t="s">
        <v>34</v>
      </c>
      <c r="D57" s="55">
        <v>110.1</v>
      </c>
      <c r="E57" s="56">
        <v>550.5</v>
      </c>
      <c r="F57" s="57"/>
      <c r="G57" s="63"/>
      <c r="H57" s="57"/>
      <c r="I57" s="57"/>
      <c r="J57" s="58"/>
    </row>
    <row r="58" outlineLevel="1">
      <c r="A58" s="52" t="s">
        <v>103</v>
      </c>
      <c r="B58" s="53" t="s">
        <v>104</v>
      </c>
      <c r="C58" s="54" t="s">
        <v>34</v>
      </c>
      <c r="D58" s="55">
        <v>27.0</v>
      </c>
      <c r="E58" s="56">
        <v>135.0</v>
      </c>
      <c r="F58" s="57"/>
      <c r="G58" s="63"/>
      <c r="H58" s="57"/>
      <c r="I58" s="57"/>
      <c r="J58" s="58"/>
    </row>
    <row r="59" outlineLevel="1">
      <c r="A59" s="52" t="s">
        <v>105</v>
      </c>
      <c r="B59" s="53" t="s">
        <v>106</v>
      </c>
      <c r="C59" s="54" t="s">
        <v>34</v>
      </c>
      <c r="D59" s="55">
        <v>110.1</v>
      </c>
      <c r="E59" s="56">
        <v>550.5</v>
      </c>
      <c r="F59" s="57"/>
      <c r="G59" s="63"/>
      <c r="H59" s="57"/>
      <c r="I59" s="57"/>
      <c r="J59" s="58"/>
    </row>
    <row r="60" outlineLevel="1">
      <c r="A60" s="52" t="s">
        <v>107</v>
      </c>
      <c r="B60" s="53" t="s">
        <v>108</v>
      </c>
      <c r="C60" s="54" t="s">
        <v>34</v>
      </c>
      <c r="D60" s="55">
        <v>90.7</v>
      </c>
      <c r="E60" s="56">
        <v>453.5</v>
      </c>
      <c r="F60" s="57"/>
      <c r="G60" s="63"/>
      <c r="H60" s="57"/>
      <c r="I60" s="57"/>
      <c r="J60" s="58"/>
    </row>
    <row r="61">
      <c r="A61" s="52"/>
      <c r="B61" s="60"/>
      <c r="C61" s="57"/>
      <c r="D61" s="58"/>
      <c r="E61" s="61"/>
      <c r="F61" s="57"/>
      <c r="G61" s="57"/>
      <c r="H61" s="57"/>
      <c r="I61" s="57"/>
      <c r="J61" s="58"/>
    </row>
    <row r="62">
      <c r="A62" s="47" t="s">
        <v>109</v>
      </c>
      <c r="B62" s="40" t="s">
        <v>110</v>
      </c>
      <c r="C62" s="48"/>
      <c r="D62" s="49"/>
      <c r="E62" s="50"/>
      <c r="F62" s="51"/>
      <c r="G62" s="51"/>
      <c r="H62" s="57"/>
      <c r="I62" s="57"/>
      <c r="J62" s="49"/>
    </row>
    <row r="63" outlineLevel="1">
      <c r="A63" s="52" t="s">
        <v>111</v>
      </c>
      <c r="B63" s="53" t="s">
        <v>112</v>
      </c>
      <c r="C63" s="54" t="s">
        <v>113</v>
      </c>
      <c r="D63" s="55">
        <v>4.3</v>
      </c>
      <c r="E63" s="61"/>
      <c r="F63" s="54"/>
      <c r="G63" s="63"/>
      <c r="H63" s="57"/>
      <c r="I63" s="57"/>
      <c r="J63" s="58"/>
    </row>
    <row r="64" outlineLevel="1">
      <c r="A64" s="52" t="s">
        <v>114</v>
      </c>
      <c r="B64" s="53" t="s">
        <v>115</v>
      </c>
      <c r="C64" s="54" t="s">
        <v>113</v>
      </c>
      <c r="D64" s="55">
        <v>6.4</v>
      </c>
      <c r="E64" s="61"/>
      <c r="F64" s="54"/>
      <c r="G64" s="63"/>
      <c r="H64" s="57"/>
      <c r="I64" s="57"/>
      <c r="J64" s="58"/>
    </row>
    <row r="65">
      <c r="A65" s="59"/>
      <c r="B65" s="60"/>
      <c r="C65" s="57"/>
      <c r="D65" s="58"/>
      <c r="E65" s="61"/>
      <c r="F65" s="57"/>
      <c r="G65" s="57"/>
      <c r="H65" s="57"/>
      <c r="I65" s="57"/>
      <c r="J65" s="58"/>
    </row>
    <row r="66">
      <c r="A66" s="47" t="s">
        <v>116</v>
      </c>
      <c r="B66" s="40" t="s">
        <v>117</v>
      </c>
      <c r="C66" s="51"/>
      <c r="D66" s="49"/>
      <c r="E66" s="50"/>
      <c r="F66" s="51"/>
      <c r="G66" s="51"/>
      <c r="H66" s="57"/>
      <c r="I66" s="57"/>
      <c r="J66" s="49"/>
    </row>
    <row r="67" outlineLevel="1">
      <c r="A67" s="52" t="s">
        <v>118</v>
      </c>
      <c r="B67" s="54" t="s">
        <v>119</v>
      </c>
      <c r="C67" s="54" t="s">
        <v>120</v>
      </c>
      <c r="D67" s="58"/>
      <c r="E67" s="56"/>
      <c r="F67" s="57"/>
      <c r="G67" s="54"/>
      <c r="H67" s="57"/>
      <c r="I67" s="57"/>
      <c r="J67" s="58"/>
    </row>
    <row r="68" outlineLevel="1">
      <c r="A68" s="52" t="s">
        <v>121</v>
      </c>
      <c r="B68" s="53" t="s">
        <v>122</v>
      </c>
      <c r="C68" s="54" t="s">
        <v>34</v>
      </c>
      <c r="D68" s="55">
        <v>37.8</v>
      </c>
      <c r="E68" s="56">
        <v>189.0</v>
      </c>
      <c r="F68" s="57"/>
      <c r="G68" s="54"/>
      <c r="H68" s="57"/>
      <c r="I68" s="57"/>
      <c r="J68" s="58"/>
    </row>
    <row r="69" outlineLevel="1">
      <c r="A69" s="52" t="s">
        <v>123</v>
      </c>
      <c r="B69" s="53" t="s">
        <v>124</v>
      </c>
      <c r="C69" s="54" t="s">
        <v>34</v>
      </c>
      <c r="D69" s="55">
        <v>49.6</v>
      </c>
      <c r="E69" s="56">
        <v>248.0</v>
      </c>
      <c r="F69" s="57"/>
      <c r="G69" s="54"/>
      <c r="H69" s="57"/>
      <c r="I69" s="57"/>
      <c r="J69" s="58"/>
    </row>
    <row r="70" outlineLevel="1">
      <c r="A70" s="52" t="s">
        <v>125</v>
      </c>
      <c r="B70" s="53" t="s">
        <v>126</v>
      </c>
      <c r="C70" s="54" t="s">
        <v>34</v>
      </c>
      <c r="D70" s="58"/>
      <c r="E70" s="56">
        <v>47.5</v>
      </c>
      <c r="F70" s="57"/>
      <c r="G70" s="54"/>
      <c r="H70" s="57"/>
      <c r="I70" s="57"/>
      <c r="J70" s="58"/>
    </row>
    <row r="71" outlineLevel="1">
      <c r="A71" s="52" t="s">
        <v>127</v>
      </c>
      <c r="B71" s="53" t="s">
        <v>128</v>
      </c>
      <c r="C71" s="54" t="s">
        <v>34</v>
      </c>
      <c r="D71" s="58"/>
      <c r="E71" s="56">
        <v>65.8</v>
      </c>
      <c r="F71" s="57"/>
      <c r="G71" s="54"/>
      <c r="H71" s="57"/>
      <c r="I71" s="57"/>
      <c r="J71" s="58"/>
    </row>
    <row r="72" outlineLevel="1">
      <c r="A72" s="52" t="s">
        <v>129</v>
      </c>
      <c r="B72" s="53" t="s">
        <v>130</v>
      </c>
      <c r="C72" s="54" t="s">
        <v>34</v>
      </c>
      <c r="D72" s="55">
        <v>38.8</v>
      </c>
      <c r="E72" s="56">
        <v>194.0</v>
      </c>
      <c r="F72" s="57"/>
      <c r="G72" s="54"/>
      <c r="H72" s="57"/>
      <c r="I72" s="57"/>
      <c r="J72" s="58"/>
    </row>
    <row r="73" outlineLevel="1">
      <c r="A73" s="52" t="s">
        <v>131</v>
      </c>
      <c r="B73" s="53" t="s">
        <v>132</v>
      </c>
      <c r="C73" s="54" t="s">
        <v>34</v>
      </c>
      <c r="D73" s="55">
        <v>58.3</v>
      </c>
      <c r="E73" s="56">
        <v>291.5</v>
      </c>
      <c r="F73" s="57"/>
      <c r="G73" s="54"/>
      <c r="H73" s="57"/>
      <c r="I73" s="57"/>
      <c r="J73" s="58"/>
    </row>
    <row r="74">
      <c r="A74" s="52"/>
      <c r="B74" s="60"/>
      <c r="C74" s="57"/>
      <c r="D74" s="58"/>
      <c r="E74" s="61"/>
      <c r="F74" s="57"/>
      <c r="G74" s="57"/>
      <c r="H74" s="57"/>
      <c r="I74" s="57"/>
      <c r="J74" s="58"/>
    </row>
    <row r="75">
      <c r="A75" s="47" t="s">
        <v>133</v>
      </c>
      <c r="B75" s="40" t="s">
        <v>134</v>
      </c>
      <c r="C75" s="48"/>
      <c r="D75" s="49"/>
      <c r="E75" s="50"/>
      <c r="F75" s="51"/>
      <c r="G75" s="51"/>
      <c r="H75" s="57"/>
      <c r="I75" s="57"/>
      <c r="J75" s="49"/>
    </row>
    <row r="76" outlineLevel="1">
      <c r="A76" s="52" t="s">
        <v>135</v>
      </c>
      <c r="B76" s="53" t="s">
        <v>136</v>
      </c>
      <c r="C76" s="54" t="s">
        <v>34</v>
      </c>
      <c r="D76" s="55">
        <v>19.4</v>
      </c>
      <c r="E76" s="56">
        <v>97.0</v>
      </c>
      <c r="F76" s="57"/>
      <c r="G76" s="63"/>
      <c r="H76" s="57"/>
      <c r="I76" s="57"/>
      <c r="J76" s="58"/>
    </row>
    <row r="77" outlineLevel="1">
      <c r="A77" s="52" t="s">
        <v>137</v>
      </c>
      <c r="B77" s="53" t="s">
        <v>138</v>
      </c>
      <c r="C77" s="54" t="s">
        <v>34</v>
      </c>
      <c r="D77" s="55"/>
      <c r="E77" s="56">
        <v>25.9</v>
      </c>
      <c r="F77" s="57"/>
      <c r="G77" s="63"/>
      <c r="H77" s="57"/>
      <c r="I77" s="57"/>
      <c r="J77" s="58"/>
    </row>
    <row r="78" outlineLevel="1">
      <c r="A78" s="52" t="s">
        <v>139</v>
      </c>
      <c r="B78" s="53" t="s">
        <v>140</v>
      </c>
      <c r="C78" s="54" t="s">
        <v>34</v>
      </c>
      <c r="D78" s="55"/>
      <c r="E78" s="56">
        <v>29.1</v>
      </c>
      <c r="F78" s="57"/>
      <c r="G78" s="63"/>
      <c r="H78" s="57"/>
      <c r="I78" s="57"/>
      <c r="J78" s="58"/>
    </row>
    <row r="79">
      <c r="A79" s="52"/>
      <c r="B79" s="60"/>
      <c r="C79" s="57"/>
      <c r="D79" s="58"/>
      <c r="E79" s="61"/>
      <c r="F79" s="57"/>
      <c r="G79" s="57"/>
      <c r="H79" s="57"/>
      <c r="I79" s="57"/>
      <c r="J79" s="58"/>
    </row>
    <row r="80">
      <c r="A80" s="47" t="s">
        <v>141</v>
      </c>
      <c r="B80" s="40" t="s">
        <v>142</v>
      </c>
      <c r="C80" s="51"/>
      <c r="D80" s="49"/>
      <c r="E80" s="50"/>
      <c r="F80" s="51"/>
      <c r="G80" s="51"/>
      <c r="H80" s="57"/>
      <c r="I80" s="57"/>
      <c r="J80" s="49"/>
    </row>
    <row r="81" outlineLevel="1">
      <c r="A81" s="52" t="s">
        <v>143</v>
      </c>
      <c r="B81" s="53" t="s">
        <v>144</v>
      </c>
      <c r="C81" s="54" t="s">
        <v>34</v>
      </c>
      <c r="D81" s="55">
        <v>106.9</v>
      </c>
      <c r="E81" s="56">
        <v>534.5</v>
      </c>
      <c r="F81" s="57"/>
      <c r="G81" s="63"/>
      <c r="H81" s="57"/>
      <c r="I81" s="57"/>
      <c r="J81" s="58"/>
    </row>
    <row r="82" outlineLevel="1">
      <c r="A82" s="52" t="s">
        <v>145</v>
      </c>
      <c r="B82" s="53" t="s">
        <v>146</v>
      </c>
      <c r="C82" s="54" t="s">
        <v>34</v>
      </c>
      <c r="D82" s="55">
        <v>15.1</v>
      </c>
      <c r="E82" s="56">
        <v>75.5</v>
      </c>
      <c r="F82" s="57"/>
      <c r="G82" s="63"/>
      <c r="H82" s="57"/>
      <c r="I82" s="57"/>
      <c r="J82" s="58"/>
    </row>
    <row r="83" outlineLevel="1">
      <c r="A83" s="52" t="s">
        <v>147</v>
      </c>
      <c r="B83" s="53" t="s">
        <v>148</v>
      </c>
      <c r="C83" s="54" t="s">
        <v>34</v>
      </c>
      <c r="D83" s="55">
        <v>38.8</v>
      </c>
      <c r="E83" s="56">
        <v>194.0</v>
      </c>
      <c r="F83" s="57"/>
      <c r="G83" s="63"/>
      <c r="H83" s="57"/>
      <c r="I83" s="57"/>
      <c r="J83" s="58"/>
    </row>
    <row r="84" outlineLevel="1">
      <c r="A84" s="52" t="s">
        <v>149</v>
      </c>
      <c r="B84" s="53" t="s">
        <v>150</v>
      </c>
      <c r="C84" s="54" t="s">
        <v>34</v>
      </c>
      <c r="D84" s="55">
        <v>15.1</v>
      </c>
      <c r="E84" s="56">
        <v>75.5</v>
      </c>
      <c r="F84" s="57"/>
      <c r="G84" s="63"/>
      <c r="H84" s="57"/>
      <c r="I84" s="57"/>
      <c r="J84" s="58"/>
    </row>
    <row r="85">
      <c r="A85" s="52"/>
      <c r="B85" s="60"/>
      <c r="C85" s="57"/>
      <c r="D85" s="58"/>
      <c r="E85" s="61"/>
      <c r="F85" s="57"/>
      <c r="G85" s="57"/>
      <c r="H85" s="57"/>
      <c r="I85" s="57"/>
      <c r="J85" s="58"/>
    </row>
    <row r="86">
      <c r="A86" s="47" t="s">
        <v>151</v>
      </c>
      <c r="B86" s="40" t="s">
        <v>152</v>
      </c>
      <c r="C86" s="51"/>
      <c r="D86" s="49"/>
      <c r="E86" s="50"/>
      <c r="F86" s="51"/>
      <c r="G86" s="51"/>
      <c r="H86" s="57"/>
      <c r="I86" s="57"/>
      <c r="J86" s="49"/>
    </row>
    <row r="87" outlineLevel="1">
      <c r="A87" s="52" t="s">
        <v>153</v>
      </c>
      <c r="B87" s="53" t="s">
        <v>154</v>
      </c>
      <c r="C87" s="54" t="s">
        <v>34</v>
      </c>
      <c r="D87" s="55"/>
      <c r="E87" s="56">
        <v>50.7</v>
      </c>
      <c r="F87" s="57"/>
      <c r="G87" s="63"/>
      <c r="H87" s="57"/>
      <c r="I87" s="57"/>
      <c r="J87" s="58"/>
    </row>
    <row r="88" outlineLevel="1">
      <c r="A88" s="52" t="s">
        <v>155</v>
      </c>
      <c r="B88" s="53" t="s">
        <v>156</v>
      </c>
      <c r="C88" s="54" t="s">
        <v>34</v>
      </c>
      <c r="D88" s="55"/>
      <c r="E88" s="56">
        <v>75.6</v>
      </c>
      <c r="F88" s="57"/>
      <c r="G88" s="63"/>
      <c r="H88" s="57"/>
      <c r="I88" s="57"/>
      <c r="J88" s="58"/>
    </row>
    <row r="89" outlineLevel="1">
      <c r="A89" s="52" t="s">
        <v>157</v>
      </c>
      <c r="B89" s="54" t="s">
        <v>158</v>
      </c>
      <c r="C89" s="54" t="s">
        <v>34</v>
      </c>
      <c r="D89" s="55">
        <v>21.6</v>
      </c>
      <c r="E89" s="56">
        <v>108.0</v>
      </c>
      <c r="F89" s="57"/>
      <c r="G89" s="63"/>
      <c r="H89" s="57"/>
      <c r="I89" s="57"/>
      <c r="J89" s="58"/>
    </row>
    <row r="90" outlineLevel="1">
      <c r="A90" s="52" t="s">
        <v>159</v>
      </c>
      <c r="B90" s="53" t="s">
        <v>160</v>
      </c>
      <c r="C90" s="54" t="s">
        <v>34</v>
      </c>
      <c r="D90" s="55"/>
      <c r="E90" s="56">
        <v>144.7</v>
      </c>
      <c r="F90" s="57"/>
      <c r="G90" s="63"/>
      <c r="H90" s="57"/>
      <c r="I90" s="57"/>
      <c r="J90" s="58"/>
    </row>
    <row r="91">
      <c r="A91" s="22"/>
      <c r="B91" s="18"/>
      <c r="D91" s="9"/>
      <c r="E91" s="10"/>
      <c r="J91" s="9"/>
    </row>
    <row r="92">
      <c r="A92" s="22"/>
      <c r="B92" s="18"/>
      <c r="D92" s="9"/>
      <c r="E92" s="10"/>
      <c r="J92" s="9"/>
    </row>
    <row r="93">
      <c r="A93" s="22"/>
      <c r="B93" s="2" t="s">
        <v>161</v>
      </c>
      <c r="D93" s="9"/>
      <c r="E93" s="10"/>
      <c r="J93" s="9"/>
    </row>
    <row r="94">
      <c r="A94" s="22"/>
      <c r="B94" s="2"/>
      <c r="D94" s="9"/>
      <c r="E94" s="10"/>
      <c r="J94" s="9"/>
    </row>
    <row r="95">
      <c r="A95" s="47" t="s">
        <v>162</v>
      </c>
      <c r="B95" s="40" t="s">
        <v>163</v>
      </c>
      <c r="C95" s="51"/>
      <c r="D95" s="49"/>
      <c r="E95" s="50"/>
      <c r="F95" s="51"/>
      <c r="G95" s="51"/>
      <c r="H95" s="57"/>
      <c r="I95" s="57"/>
      <c r="J95" s="49"/>
    </row>
    <row r="96" outlineLevel="1">
      <c r="A96" s="52" t="s">
        <v>164</v>
      </c>
      <c r="B96" s="53" t="s">
        <v>165</v>
      </c>
      <c r="C96" s="54" t="str">
        <f>"nach Aufwand, mind. "&amp;E96&amp; " €"</f>
        <v>nach Aufwand, mind. 55 €</v>
      </c>
      <c r="D96" s="58"/>
      <c r="E96" s="56">
        <v>55.0</v>
      </c>
      <c r="F96" s="57"/>
      <c r="G96" s="63"/>
      <c r="H96" s="57"/>
      <c r="I96" s="57"/>
      <c r="J96" s="58"/>
    </row>
    <row r="97" outlineLevel="1">
      <c r="A97" s="52" t="s">
        <v>166</v>
      </c>
      <c r="B97" s="53" t="s">
        <v>167</v>
      </c>
      <c r="C97" s="54" t="s">
        <v>120</v>
      </c>
      <c r="D97" s="58"/>
      <c r="E97" s="61"/>
      <c r="F97" s="57"/>
      <c r="G97" s="63"/>
      <c r="H97" s="57"/>
      <c r="I97" s="57"/>
      <c r="J97" s="58"/>
    </row>
    <row r="98" outlineLevel="1">
      <c r="A98" s="52" t="s">
        <v>168</v>
      </c>
      <c r="B98" s="53" t="s">
        <v>169</v>
      </c>
      <c r="C98" s="54" t="str">
        <f>"nach Aufwand, mind. "&amp;E98&amp; " €"</f>
        <v>nach Aufwand, mind. 72,3 €</v>
      </c>
      <c r="D98" s="58"/>
      <c r="E98" s="56">
        <v>72.3</v>
      </c>
      <c r="F98" s="57"/>
      <c r="G98" s="63"/>
      <c r="H98" s="57"/>
      <c r="I98" s="57"/>
      <c r="J98" s="58"/>
    </row>
    <row r="99" outlineLevel="1">
      <c r="A99" s="52" t="s">
        <v>170</v>
      </c>
      <c r="B99" s="53" t="s">
        <v>171</v>
      </c>
      <c r="C99" s="54" t="str">
        <f>E99&amp;" € bzw. nach Aufwand"</f>
        <v>259,2 € bzw. nach Aufwand</v>
      </c>
      <c r="D99" s="58"/>
      <c r="E99" s="56">
        <v>259.2</v>
      </c>
      <c r="F99" s="57"/>
      <c r="G99" s="63"/>
      <c r="H99" s="57"/>
      <c r="I99" s="57"/>
      <c r="J99" s="58"/>
    </row>
    <row r="100" outlineLevel="1">
      <c r="A100" s="52" t="s">
        <v>172</v>
      </c>
      <c r="B100" s="53" t="s">
        <v>173</v>
      </c>
      <c r="C100" s="54" t="str">
        <f t="shared" ref="C100:C102" si="1">E100&amp;" € je Fahrt bzw. nach Aufwand"</f>
        <v>73,4 € je Fahrt bzw. nach Aufwand</v>
      </c>
      <c r="D100" s="58"/>
      <c r="E100" s="56">
        <v>73.4</v>
      </c>
      <c r="F100" s="57"/>
      <c r="G100" s="63"/>
      <c r="H100" s="57"/>
      <c r="I100" s="57"/>
      <c r="J100" s="58"/>
    </row>
    <row r="101" outlineLevel="1">
      <c r="A101" s="52" t="s">
        <v>174</v>
      </c>
      <c r="B101" s="53" t="s">
        <v>175</v>
      </c>
      <c r="C101" s="54" t="str">
        <f t="shared" si="1"/>
        <v>99,3 € je Fahrt bzw. nach Aufwand</v>
      </c>
      <c r="D101" s="58"/>
      <c r="E101" s="56">
        <v>99.3</v>
      </c>
      <c r="F101" s="57"/>
      <c r="G101" s="63"/>
      <c r="H101" s="57"/>
      <c r="I101" s="57"/>
      <c r="J101" s="58"/>
    </row>
    <row r="102" outlineLevel="1">
      <c r="A102" s="52" t="s">
        <v>176</v>
      </c>
      <c r="B102" s="53" t="s">
        <v>177</v>
      </c>
      <c r="C102" s="54" t="str">
        <f t="shared" si="1"/>
        <v>129,6 € je Fahrt bzw. nach Aufwand</v>
      </c>
      <c r="D102" s="58"/>
      <c r="E102" s="56">
        <v>129.6</v>
      </c>
      <c r="F102" s="57"/>
      <c r="G102" s="63"/>
      <c r="H102" s="57"/>
      <c r="I102" s="57"/>
      <c r="J102" s="58"/>
    </row>
    <row r="103">
      <c r="A103" s="22"/>
      <c r="B103" s="18"/>
      <c r="D103" s="9"/>
      <c r="E103" s="10"/>
      <c r="J103" s="9"/>
    </row>
    <row r="104">
      <c r="A104" s="22"/>
      <c r="B104" s="18"/>
      <c r="D104" s="9"/>
      <c r="E104" s="10"/>
      <c r="J104" s="9"/>
    </row>
    <row r="105">
      <c r="A105" s="22"/>
      <c r="B105" s="2" t="s">
        <v>178</v>
      </c>
      <c r="D105" s="9"/>
      <c r="E105" s="10"/>
      <c r="J105" s="9"/>
    </row>
    <row r="106">
      <c r="A106" s="22"/>
      <c r="B106" s="2"/>
      <c r="D106" s="9"/>
      <c r="E106" s="10"/>
      <c r="J106" s="9"/>
    </row>
    <row r="107">
      <c r="A107" s="47" t="s">
        <v>179</v>
      </c>
      <c r="B107" s="40" t="s">
        <v>180</v>
      </c>
      <c r="C107" s="51"/>
      <c r="D107" s="49"/>
      <c r="E107" s="50"/>
      <c r="F107" s="51"/>
      <c r="G107" s="51"/>
      <c r="H107" s="57"/>
      <c r="I107" s="57"/>
      <c r="J107" s="49"/>
    </row>
    <row r="108" outlineLevel="1">
      <c r="A108" s="52" t="s">
        <v>181</v>
      </c>
      <c r="B108" s="53" t="s">
        <v>182</v>
      </c>
      <c r="C108" s="54" t="s">
        <v>183</v>
      </c>
      <c r="D108" s="58"/>
      <c r="E108" s="56">
        <v>112.3</v>
      </c>
      <c r="F108" s="57"/>
      <c r="G108" s="63"/>
      <c r="H108" s="57"/>
      <c r="I108" s="57"/>
      <c r="J108" s="58"/>
    </row>
    <row r="109" outlineLevel="1">
      <c r="A109" s="52" t="s">
        <v>184</v>
      </c>
      <c r="B109" s="53" t="s">
        <v>185</v>
      </c>
      <c r="C109" s="54" t="s">
        <v>183</v>
      </c>
      <c r="D109" s="58"/>
      <c r="E109" s="56">
        <v>99.3</v>
      </c>
      <c r="F109" s="57"/>
      <c r="G109" s="63"/>
      <c r="H109" s="57"/>
      <c r="I109" s="57"/>
      <c r="J109" s="58"/>
    </row>
    <row r="110" outlineLevel="1">
      <c r="A110" s="52" t="s">
        <v>186</v>
      </c>
      <c r="B110" s="53" t="s">
        <v>187</v>
      </c>
      <c r="C110" s="54" t="s">
        <v>188</v>
      </c>
      <c r="D110" s="58"/>
      <c r="E110" s="61"/>
      <c r="F110" s="57"/>
      <c r="G110" s="63"/>
      <c r="H110" s="57"/>
      <c r="I110" s="57"/>
      <c r="J110" s="58"/>
    </row>
    <row r="111" outlineLevel="1">
      <c r="A111" s="52" t="s">
        <v>189</v>
      </c>
      <c r="B111" s="53" t="s">
        <v>190</v>
      </c>
      <c r="C111" s="54" t="s">
        <v>191</v>
      </c>
      <c r="D111" s="58"/>
      <c r="E111" s="56">
        <v>421.2</v>
      </c>
      <c r="F111" s="57"/>
      <c r="G111" s="63"/>
      <c r="H111" s="57"/>
      <c r="I111" s="57"/>
      <c r="J111" s="58"/>
    </row>
    <row r="112" outlineLevel="1">
      <c r="A112" s="52" t="s">
        <v>192</v>
      </c>
      <c r="B112" s="53" t="s">
        <v>193</v>
      </c>
      <c r="C112" s="57"/>
      <c r="D112" s="58"/>
      <c r="E112" s="56">
        <v>54.0</v>
      </c>
      <c r="F112" s="57"/>
      <c r="G112" s="63"/>
      <c r="H112" s="57"/>
      <c r="I112" s="57"/>
      <c r="J112" s="58"/>
    </row>
    <row r="113" outlineLevel="1">
      <c r="A113" s="52" t="s">
        <v>194</v>
      </c>
      <c r="B113" s="53" t="s">
        <v>195</v>
      </c>
      <c r="C113" s="57"/>
      <c r="D113" s="58"/>
      <c r="E113" s="56">
        <v>456.8</v>
      </c>
      <c r="F113" s="57"/>
      <c r="G113" s="63"/>
      <c r="H113" s="57"/>
      <c r="I113" s="57"/>
      <c r="J113" s="58"/>
    </row>
    <row r="114" outlineLevel="1">
      <c r="A114" s="52" t="s">
        <v>196</v>
      </c>
      <c r="B114" s="53" t="s">
        <v>197</v>
      </c>
      <c r="C114" s="54" t="s">
        <v>198</v>
      </c>
      <c r="D114" s="55">
        <v>5.4</v>
      </c>
      <c r="E114" s="56">
        <v>21.6</v>
      </c>
      <c r="F114" s="57"/>
      <c r="G114" s="63"/>
      <c r="H114" s="57"/>
      <c r="I114" s="57"/>
      <c r="J114" s="58"/>
    </row>
    <row r="115">
      <c r="A115" s="22"/>
      <c r="B115" s="17"/>
      <c r="C115" s="16"/>
      <c r="D115" s="9"/>
      <c r="E115" s="24"/>
      <c r="J115" s="9"/>
    </row>
    <row r="116">
      <c r="A116" s="22"/>
      <c r="B116" s="17"/>
      <c r="C116" s="16"/>
      <c r="D116" s="9"/>
      <c r="E116" s="24"/>
      <c r="J116" s="9"/>
    </row>
    <row r="117">
      <c r="A117" s="1"/>
      <c r="B117" s="2" t="s">
        <v>199</v>
      </c>
      <c r="C117" s="3"/>
      <c r="D117" s="19"/>
      <c r="E117" s="27"/>
      <c r="F117" s="21"/>
      <c r="G117" s="21"/>
      <c r="I117" s="21"/>
      <c r="J117" s="9"/>
    </row>
    <row r="118">
      <c r="A118" s="22"/>
      <c r="B118" s="17"/>
      <c r="C118" s="16"/>
      <c r="D118" s="9"/>
      <c r="E118" s="24"/>
      <c r="J118" s="9"/>
    </row>
    <row r="119">
      <c r="A119" s="47" t="s">
        <v>200</v>
      </c>
      <c r="B119" s="40" t="s">
        <v>201</v>
      </c>
      <c r="C119" s="48"/>
      <c r="D119" s="49"/>
      <c r="E119" s="64"/>
      <c r="F119" s="51"/>
      <c r="G119" s="51"/>
      <c r="H119" s="57"/>
      <c r="I119" s="51"/>
      <c r="J119" s="49"/>
    </row>
    <row r="120" outlineLevel="1">
      <c r="A120" s="52" t="s">
        <v>202</v>
      </c>
      <c r="B120" s="53" t="s">
        <v>203</v>
      </c>
      <c r="C120" s="54" t="s">
        <v>204</v>
      </c>
      <c r="D120" s="55">
        <v>1.8</v>
      </c>
      <c r="E120" s="56"/>
      <c r="F120" s="54"/>
      <c r="G120" s="63"/>
      <c r="H120" s="57"/>
      <c r="I120" s="57"/>
      <c r="J120" s="58"/>
    </row>
    <row r="121" outlineLevel="1">
      <c r="A121" s="52" t="s">
        <v>205</v>
      </c>
      <c r="B121" s="53" t="s">
        <v>206</v>
      </c>
      <c r="C121" s="54" t="s">
        <v>204</v>
      </c>
      <c r="D121" s="58"/>
      <c r="E121" s="56"/>
      <c r="F121" s="57"/>
      <c r="G121" s="63"/>
      <c r="H121" s="57"/>
      <c r="I121" s="57"/>
      <c r="J121" s="58"/>
    </row>
    <row r="122" outlineLevel="1">
      <c r="A122" s="52" t="s">
        <v>207</v>
      </c>
      <c r="B122" s="53" t="s">
        <v>208</v>
      </c>
      <c r="C122" s="54" t="s">
        <v>204</v>
      </c>
      <c r="D122" s="58"/>
      <c r="E122" s="56"/>
      <c r="F122" s="57"/>
      <c r="G122" s="63"/>
      <c r="H122" s="57"/>
      <c r="I122" s="57"/>
      <c r="J122" s="58"/>
    </row>
    <row r="123" outlineLevel="1">
      <c r="A123" s="52" t="s">
        <v>209</v>
      </c>
      <c r="B123" s="53" t="s">
        <v>210</v>
      </c>
      <c r="C123" s="54" t="s">
        <v>204</v>
      </c>
      <c r="D123" s="58"/>
      <c r="E123" s="61"/>
      <c r="F123" s="57"/>
      <c r="G123" s="63"/>
      <c r="H123" s="57"/>
      <c r="I123" s="57"/>
      <c r="J123" s="58"/>
    </row>
    <row r="124" outlineLevel="1">
      <c r="A124" s="52" t="s">
        <v>211</v>
      </c>
      <c r="B124" s="53" t="s">
        <v>212</v>
      </c>
      <c r="C124" s="54" t="s">
        <v>213</v>
      </c>
      <c r="D124" s="55">
        <v>40.0</v>
      </c>
      <c r="E124" s="61"/>
      <c r="F124" s="54"/>
      <c r="G124" s="63"/>
      <c r="H124" s="57"/>
      <c r="I124" s="57"/>
      <c r="J124" s="58"/>
    </row>
    <row r="125" outlineLevel="1">
      <c r="A125" s="52" t="s">
        <v>214</v>
      </c>
      <c r="B125" s="53" t="s">
        <v>215</v>
      </c>
      <c r="C125" s="54" t="s">
        <v>216</v>
      </c>
      <c r="D125" s="55">
        <v>39.0</v>
      </c>
      <c r="E125" s="61"/>
      <c r="F125" s="54"/>
      <c r="G125" s="63"/>
      <c r="H125" s="57"/>
      <c r="I125" s="57"/>
      <c r="J125" s="58"/>
    </row>
    <row r="126" outlineLevel="1">
      <c r="A126" s="52" t="s">
        <v>217</v>
      </c>
      <c r="B126" s="53" t="s">
        <v>218</v>
      </c>
      <c r="C126" s="54" t="s">
        <v>216</v>
      </c>
      <c r="D126" s="55">
        <v>81.6</v>
      </c>
      <c r="E126" s="61"/>
      <c r="F126" s="54"/>
      <c r="G126" s="63"/>
      <c r="H126" s="57"/>
      <c r="I126" s="57"/>
      <c r="J126" s="58"/>
    </row>
    <row r="127" outlineLevel="1">
      <c r="A127" s="52" t="s">
        <v>219</v>
      </c>
      <c r="B127" s="53" t="s">
        <v>220</v>
      </c>
      <c r="C127" s="54" t="s">
        <v>216</v>
      </c>
      <c r="D127" s="55">
        <v>246.0</v>
      </c>
      <c r="E127" s="61"/>
      <c r="F127" s="54"/>
      <c r="G127" s="54"/>
      <c r="H127" s="57"/>
      <c r="I127" s="57"/>
      <c r="J127" s="58"/>
    </row>
    <row r="128" outlineLevel="1">
      <c r="A128" s="52" t="s">
        <v>221</v>
      </c>
      <c r="B128" s="53" t="s">
        <v>222</v>
      </c>
      <c r="C128" s="54" t="s">
        <v>216</v>
      </c>
      <c r="D128" s="55">
        <v>177.6</v>
      </c>
      <c r="E128" s="61"/>
      <c r="F128" s="54"/>
      <c r="G128" s="63"/>
      <c r="H128" s="57"/>
      <c r="I128" s="57"/>
      <c r="J128" s="58"/>
    </row>
    <row r="129" outlineLevel="1">
      <c r="A129" s="52" t="s">
        <v>223</v>
      </c>
      <c r="B129" s="65" t="s">
        <v>224</v>
      </c>
      <c r="C129" s="54" t="s">
        <v>216</v>
      </c>
      <c r="D129" s="55">
        <v>43.8</v>
      </c>
      <c r="E129" s="61"/>
      <c r="F129" s="54"/>
      <c r="G129" s="63"/>
      <c r="H129" s="57"/>
      <c r="I129" s="57"/>
      <c r="J129" s="58"/>
    </row>
    <row r="130" outlineLevel="1">
      <c r="A130" s="52" t="s">
        <v>225</v>
      </c>
      <c r="B130" s="53" t="s">
        <v>226</v>
      </c>
      <c r="C130" s="54" t="s">
        <v>216</v>
      </c>
      <c r="D130" s="55">
        <v>60.0</v>
      </c>
      <c r="E130" s="61"/>
      <c r="F130" s="54"/>
      <c r="G130" s="63"/>
      <c r="H130" s="57"/>
      <c r="I130" s="57"/>
      <c r="J130" s="58"/>
    </row>
    <row r="131" outlineLevel="1">
      <c r="A131" s="52" t="s">
        <v>227</v>
      </c>
      <c r="B131" s="53" t="s">
        <v>228</v>
      </c>
      <c r="C131" s="54" t="s">
        <v>216</v>
      </c>
      <c r="D131" s="55">
        <v>100.0</v>
      </c>
      <c r="E131" s="61"/>
      <c r="F131" s="54"/>
      <c r="G131" s="63"/>
      <c r="H131" s="57"/>
      <c r="I131" s="57"/>
      <c r="J131" s="58"/>
    </row>
    <row r="132" outlineLevel="1">
      <c r="A132" s="52" t="s">
        <v>229</v>
      </c>
      <c r="B132" s="53" t="s">
        <v>230</v>
      </c>
      <c r="C132" s="54" t="s">
        <v>216</v>
      </c>
      <c r="D132" s="55">
        <v>51.9</v>
      </c>
      <c r="E132" s="61"/>
      <c r="F132" s="54"/>
      <c r="G132" s="63"/>
      <c r="H132" s="57"/>
      <c r="I132" s="57"/>
      <c r="J132" s="58"/>
    </row>
    <row r="133" outlineLevel="1">
      <c r="A133" s="52" t="s">
        <v>231</v>
      </c>
      <c r="B133" s="53" t="s">
        <v>232</v>
      </c>
      <c r="C133" s="54" t="s">
        <v>216</v>
      </c>
      <c r="D133" s="55">
        <v>19.2</v>
      </c>
      <c r="E133" s="61"/>
      <c r="F133" s="54"/>
      <c r="G133" s="63"/>
      <c r="H133" s="57"/>
      <c r="I133" s="57"/>
      <c r="J133" s="58"/>
    </row>
    <row r="134" outlineLevel="1">
      <c r="A134" s="52" t="s">
        <v>233</v>
      </c>
      <c r="B134" s="53" t="s">
        <v>234</v>
      </c>
      <c r="C134" s="54" t="s">
        <v>216</v>
      </c>
      <c r="D134" s="55">
        <v>500.0</v>
      </c>
      <c r="E134" s="61"/>
      <c r="F134" s="54"/>
      <c r="G134" s="63"/>
      <c r="H134" s="57"/>
      <c r="I134" s="57"/>
      <c r="J134" s="58"/>
    </row>
    <row r="135" outlineLevel="1">
      <c r="A135" s="52" t="s">
        <v>235</v>
      </c>
      <c r="B135" s="53" t="s">
        <v>236</v>
      </c>
      <c r="C135" s="54" t="s">
        <v>216</v>
      </c>
      <c r="D135" s="55">
        <v>500.0</v>
      </c>
      <c r="E135" s="61"/>
      <c r="F135" s="54"/>
      <c r="G135" s="54"/>
      <c r="H135" s="57"/>
      <c r="I135" s="57"/>
      <c r="J135" s="58"/>
    </row>
    <row r="136" outlineLevel="1">
      <c r="A136" s="52" t="s">
        <v>237</v>
      </c>
      <c r="B136" s="53" t="s">
        <v>238</v>
      </c>
      <c r="C136" s="54" t="s">
        <v>216</v>
      </c>
      <c r="D136" s="55">
        <v>50.0</v>
      </c>
      <c r="E136" s="61"/>
      <c r="F136" s="54"/>
      <c r="G136" s="54"/>
      <c r="H136" s="57"/>
      <c r="I136" s="57"/>
      <c r="J136" s="58"/>
    </row>
    <row r="137" outlineLevel="1">
      <c r="A137" s="52" t="s">
        <v>239</v>
      </c>
      <c r="B137" s="66" t="s">
        <v>240</v>
      </c>
      <c r="C137" s="54" t="s">
        <v>216</v>
      </c>
      <c r="D137" s="67">
        <v>190.8</v>
      </c>
      <c r="E137" s="61"/>
      <c r="F137" s="54"/>
      <c r="G137" s="54"/>
      <c r="H137" s="57"/>
      <c r="I137" s="57"/>
      <c r="J137" s="58"/>
    </row>
    <row r="138" outlineLevel="1">
      <c r="A138" s="52" t="s">
        <v>241</v>
      </c>
      <c r="B138" s="66" t="s">
        <v>242</v>
      </c>
      <c r="C138" s="54" t="s">
        <v>216</v>
      </c>
      <c r="D138" s="67">
        <v>258.0</v>
      </c>
      <c r="E138" s="61"/>
      <c r="F138" s="54"/>
      <c r="G138" s="54"/>
      <c r="H138" s="57"/>
      <c r="I138" s="57"/>
      <c r="J138" s="58"/>
    </row>
    <row r="139" outlineLevel="1">
      <c r="A139" s="52" t="s">
        <v>243</v>
      </c>
      <c r="B139" s="66" t="s">
        <v>244</v>
      </c>
      <c r="C139" s="54" t="s">
        <v>216</v>
      </c>
      <c r="D139" s="67">
        <v>380.4</v>
      </c>
      <c r="E139" s="61"/>
      <c r="F139" s="54"/>
      <c r="G139" s="54"/>
      <c r="H139" s="57"/>
      <c r="I139" s="57"/>
      <c r="J139" s="58"/>
    </row>
    <row r="140" outlineLevel="1">
      <c r="A140" s="52" t="s">
        <v>245</v>
      </c>
      <c r="B140" s="66"/>
      <c r="C140" s="57"/>
      <c r="D140" s="67"/>
      <c r="E140" s="61"/>
      <c r="F140" s="54"/>
      <c r="G140" s="54"/>
      <c r="H140" s="57"/>
      <c r="I140" s="57"/>
      <c r="J140" s="58"/>
    </row>
    <row r="141" outlineLevel="1">
      <c r="A141" s="52" t="s">
        <v>247</v>
      </c>
      <c r="B141" s="66"/>
      <c r="C141" s="57"/>
      <c r="D141" s="67"/>
      <c r="E141" s="61"/>
      <c r="F141" s="54"/>
      <c r="G141" s="54"/>
      <c r="H141" s="57"/>
      <c r="I141" s="57"/>
      <c r="J141" s="58"/>
    </row>
    <row r="142" outlineLevel="1">
      <c r="A142" s="52" t="s">
        <v>249</v>
      </c>
      <c r="B142" s="66"/>
      <c r="C142" s="57"/>
      <c r="D142" s="67"/>
      <c r="E142" s="61"/>
      <c r="F142" s="54"/>
      <c r="G142" s="54"/>
      <c r="H142" s="57"/>
      <c r="I142" s="57"/>
      <c r="J142" s="58"/>
    </row>
    <row r="143" outlineLevel="1">
      <c r="A143" s="52" t="s">
        <v>251</v>
      </c>
      <c r="B143" s="66"/>
      <c r="C143" s="57"/>
      <c r="D143" s="67"/>
      <c r="E143" s="61"/>
      <c r="F143" s="54"/>
      <c r="G143" s="54"/>
      <c r="H143" s="57"/>
      <c r="I143" s="57"/>
      <c r="J143" s="58"/>
    </row>
    <row r="144" outlineLevel="1">
      <c r="A144" s="52" t="s">
        <v>254</v>
      </c>
      <c r="B144" s="57"/>
      <c r="C144" s="57"/>
      <c r="D144" s="67"/>
      <c r="E144" s="61"/>
      <c r="F144" s="54"/>
      <c r="G144" s="63"/>
      <c r="H144" s="57"/>
      <c r="I144" s="57"/>
      <c r="J144" s="58"/>
    </row>
    <row r="145">
      <c r="A145" s="8"/>
      <c r="B145" s="18"/>
      <c r="D145" s="9"/>
      <c r="E145" s="10"/>
      <c r="J145" s="9"/>
    </row>
    <row r="146">
      <c r="A146" s="33"/>
      <c r="B146" s="34" t="s">
        <v>256</v>
      </c>
      <c r="C146" s="35"/>
      <c r="D146" s="36"/>
      <c r="E146" s="37"/>
      <c r="F146" s="35"/>
      <c r="G146" s="35"/>
      <c r="H146" s="35"/>
      <c r="I146" s="35"/>
      <c r="J146" s="36"/>
    </row>
    <row r="147">
      <c r="A147" s="8"/>
      <c r="B147" s="18"/>
      <c r="D147" s="9"/>
      <c r="E147" s="10"/>
      <c r="J147" s="9"/>
    </row>
    <row r="148">
      <c r="A148" s="22"/>
      <c r="B148" s="17" t="s">
        <v>257</v>
      </c>
      <c r="D148" s="9"/>
      <c r="E148" s="10"/>
      <c r="F148" s="10"/>
      <c r="G148" s="10"/>
      <c r="H148" s="10"/>
      <c r="I148" s="10"/>
      <c r="J148" s="10"/>
    </row>
    <row r="149">
      <c r="A149" s="8"/>
      <c r="B149" s="38" t="s">
        <v>258</v>
      </c>
      <c r="D149" s="9"/>
      <c r="E149" s="10"/>
      <c r="F149" s="10"/>
      <c r="G149" s="10"/>
      <c r="H149" s="10"/>
      <c r="I149" s="10"/>
      <c r="J149" s="10"/>
    </row>
    <row r="150">
      <c r="A150" s="8"/>
      <c r="B150" s="18"/>
      <c r="D150" s="9"/>
      <c r="E150" s="10"/>
      <c r="J150" s="23"/>
    </row>
    <row r="151">
      <c r="A151" s="8"/>
      <c r="B151" s="18"/>
      <c r="D151" s="9"/>
      <c r="E151" s="10"/>
      <c r="J151" s="9"/>
    </row>
    <row r="152">
      <c r="A152" s="8"/>
      <c r="B152" s="17" t="s">
        <v>259</v>
      </c>
      <c r="E152" s="10"/>
    </row>
    <row r="153">
      <c r="A153" s="8"/>
      <c r="B153" s="17" t="s">
        <v>260</v>
      </c>
      <c r="E153" s="17"/>
      <c r="F153" s="17"/>
      <c r="G153" s="17"/>
      <c r="H153" s="17"/>
      <c r="I153" s="17"/>
      <c r="J153" s="9"/>
    </row>
    <row r="154">
      <c r="A154" s="8"/>
      <c r="B154" s="18"/>
      <c r="D154" s="9"/>
      <c r="E154" s="10"/>
      <c r="J154" s="9"/>
    </row>
    <row r="155">
      <c r="A155" s="8"/>
      <c r="B155" s="17" t="s">
        <v>261</v>
      </c>
      <c r="E155" s="10"/>
      <c r="J155" s="9"/>
    </row>
    <row r="156">
      <c r="A156" s="8"/>
      <c r="B156" s="68" t="s">
        <v>263</v>
      </c>
    </row>
    <row r="157">
      <c r="A157" s="8"/>
      <c r="B157" s="18"/>
      <c r="C157" s="17"/>
      <c r="D157" s="17"/>
      <c r="E157" s="17"/>
      <c r="F157" s="17"/>
      <c r="G157" s="17"/>
      <c r="H157" s="17"/>
      <c r="I157" s="17"/>
      <c r="J157" s="9"/>
    </row>
    <row r="158">
      <c r="A158" s="8"/>
      <c r="B158" s="18"/>
      <c r="D158" s="9"/>
      <c r="E158" s="10"/>
      <c r="J158" s="9"/>
    </row>
    <row r="159">
      <c r="A159" s="8"/>
      <c r="B159" s="18"/>
      <c r="D159" s="9"/>
      <c r="E159" s="10"/>
      <c r="J159" s="9"/>
    </row>
    <row r="160">
      <c r="A160" s="8"/>
      <c r="B160" s="18"/>
      <c r="D160" s="9"/>
      <c r="E160" s="10"/>
      <c r="J160" s="9"/>
    </row>
    <row r="161">
      <c r="A161" s="8"/>
      <c r="B161" s="18"/>
      <c r="D161" s="9"/>
      <c r="E161" s="10"/>
      <c r="J161" s="9"/>
    </row>
  </sheetData>
  <mergeCells count="13">
    <mergeCell ref="C10:I10"/>
    <mergeCell ref="B152:D152"/>
    <mergeCell ref="E152:J152"/>
    <mergeCell ref="B153:D153"/>
    <mergeCell ref="B155:D155"/>
    <mergeCell ref="B156:J156"/>
    <mergeCell ref="C3:I3"/>
    <mergeCell ref="C4:I4"/>
    <mergeCell ref="C5:I5"/>
    <mergeCell ref="C6:I6"/>
    <mergeCell ref="C7:I7"/>
    <mergeCell ref="C8:I8"/>
    <mergeCell ref="C9:I9"/>
  </mergeCells>
  <dataValidations>
    <dataValidation type="list" allowBlank="1" sqref="C9">
      <formula1>"Bar - Betrag eingehoben,Kreditkarte - Betrag eingehoben,Rechnung - Betrag ausständig"</formula1>
    </dataValidation>
  </dataValidations>
  <hyperlinks>
    <hyperlink r:id="rId1" ref="B149"/>
    <hyperlink r:id="rId2" ref="B156"/>
  </hyperlinks>
  <printOptions horizontalCentered="1"/>
  <pageMargins bottom="0.75" footer="0.0" header="0.0" left="0.7" right="0.7" top="0.75"/>
  <pageSetup fitToHeight="0" paperSize="9" orientation="portrait" pageOrder="overThenDown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3.5"/>
  </cols>
  <sheetData>
    <row r="1">
      <c r="A1" s="3" t="s">
        <v>264</v>
      </c>
    </row>
    <row r="2">
      <c r="A2" s="17" t="s">
        <v>265</v>
      </c>
    </row>
  </sheetData>
  <drawing r:id="rId1"/>
</worksheet>
</file>